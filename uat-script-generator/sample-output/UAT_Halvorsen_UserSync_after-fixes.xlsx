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re-UAT Validation" sheetId="2" state="visible" r:id="rId4"/>
    <sheet name="Field Mappings" sheetId="3" state="visible" r:id="rId5"/>
    <sheet name="Test Cases" sheetId="4" state="visible" r:id="rId6"/>
    <sheet name="Test Data" sheetId="5" state="visible" r:id="rId7"/>
    <sheet name="Issue Log" sheetId="6" state="visible" r:id="rId8"/>
    <sheet name="Sign-off" sheetId="7" state="visible" r:id="rId9"/>
    <sheet name="AI Instruc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<sst xmlns="http://schemas.openxmlformats.org/spreadsheetml/2006/main" count="692" uniqueCount="452">
  <si>
    <t xml:space="preserve">UAT WORKBOOK  ·  HRIS USER SYNC</t>
  </si>
  <si>
    <t xml:space="preserve">Halvorsen Freight</t>
  </si>
  <si>
    <t xml:space="preserve">Workday  →  Learning Platform   ·   UAT   ·   generated 2026-10-09</t>
  </si>
  <si>
    <t xml:space="preserve">BLOCKING CHECKS</t>
  </si>
  <si>
    <t xml:space="preserve">TEST CASES</t>
  </si>
  <si>
    <t xml:space="preserve">PASSED</t>
  </si>
  <si>
    <t xml:space="preserve">OPEN ISSUES</t>
  </si>
  <si>
    <t xml:space="preserve">TEST PROGRESS</t>
  </si>
  <si>
    <t xml:space="preserve">DETAILS</t>
  </si>
  <si>
    <t xml:space="preserve">Workflow</t>
  </si>
  <si>
    <t xml:space="preserve">Halvorsen Freight | Workday -&gt; Learning Platform | User Sync</t>
  </si>
  <si>
    <t xml:space="preserve">Workflow ID</t>
  </si>
  <si>
    <t xml:space="preserve">wf_3f9c1a72-hf-users</t>
  </si>
  <si>
    <t xml:space="preserve">Schedule (as built)</t>
  </si>
  <si>
    <t xml:space="preserve">every 15 minutes</t>
  </si>
  <si>
    <t xml:space="preserve">Match key</t>
  </si>
  <si>
    <t xml:space="preserve">external_id</t>
  </si>
  <si>
    <t xml:space="preserve">Spec signed by</t>
  </si>
  <si>
    <t xml:space="preserve">Dana Whitfield, HRIS Manager, Halvorsen Freight (2026-09-28)
Marcus Oyelaran, IT Integration Lead, Halvorsen Freight (2026-09-29)</t>
  </si>
  <si>
    <t xml:space="preserve">HOW TO USE THIS WORKBOOK</t>
  </si>
  <si>
    <t xml:space="preserve">1  Pre-UAT Validation</t>
  </si>
  <si>
    <t xml:space="preserve">Integration team fixes every ✗ FAIL before the customer starts testing.</t>
  </si>
  <si>
    <t xml:space="preserve">2  Field Mappings</t>
  </si>
  <si>
    <t xml:space="preserve">Customer checks each field against a real record and marks it ✓ Verified.</t>
  </si>
  <si>
    <t xml:space="preserve">3  Test Cases</t>
  </si>
  <si>
    <t xml:space="preserve">Run each case with its persona from Test Data; record the result and status.</t>
  </si>
  <si>
    <t xml:space="preserve">4  Issue Log</t>
  </si>
  <si>
    <t xml:space="preserve">Log every failed or blocked case and link the Issue ID back to the test case.</t>
  </si>
  <si>
    <t xml:space="preserve">5  Sign-off</t>
  </si>
  <si>
    <t xml:space="preserve">When every criterion reads ✓ Met, both sides sign and cutover is scheduled.</t>
  </si>
  <si>
    <t xml:space="preserve">Yellow cells are inputs. Everything else is generated or calculated.</t>
  </si>
  <si>
    <t xml:space="preserve">Pre-UAT Validation</t>
  </si>
  <si>
    <t xml:space="preserve">Halvorsen Freight · HRIS User Sync · the workflow as built vs. the signed requirements spec</t>
  </si>
  <si>
    <t xml:space="preserve">Resolve every ✗ FAIL before the customer starts testing. When a fix ships, re-run the generator (check IDs stay the same) or set Result and note it in Resolution.</t>
  </si>
  <si>
    <t xml:space="preserve">Check</t>
  </si>
  <si>
    <t xml:space="preserve">Category</t>
  </si>
  <si>
    <t xml:space="preserve">Signed requirement</t>
  </si>
  <si>
    <t xml:space="preserve">Workflow as built</t>
  </si>
  <si>
    <t xml:space="preserve">Result</t>
  </si>
  <si>
    <t xml:space="preserve">Severity</t>
  </si>
  <si>
    <t xml:space="preserve">Recommended action</t>
  </si>
  <si>
    <t xml:space="preserve">Resolution</t>
  </si>
  <si>
    <t xml:space="preserve">V-16</t>
  </si>
  <si>
    <t xml:space="preserve">Schedule</t>
  </si>
  <si>
    <t xml:space="preserve">Runs daily</t>
  </si>
  <si>
    <t xml:space="preserve">Runs every 15 minutes</t>
  </si>
  <si>
    <t xml:space="preserve">⚠ WARN</t>
  </si>
  <si>
    <t xml:space="preserve">Medium</t>
  </si>
  <si>
    <t xml:space="preserve">Faster cadence is fine for UAT. Revert to daily before production cutover.</t>
  </si>
  <si>
    <t xml:space="preserve">V-14</t>
  </si>
  <si>
    <t xml:space="preserve">Field mapping</t>
  </si>
  <si>
    <t xml:space="preserve">Not in signed spec</t>
  </si>
  <si>
    <t xml:space="preserve">cost_center ← Cost_Center</t>
  </si>
  <si>
    <t xml:space="preserve">ℹ INFO</t>
  </si>
  <si>
    <t xml:space="preserve">Low</t>
  </si>
  <si>
    <t xml:space="preserve">Confirm with the customer that this field should sync, or remove it.</t>
  </si>
  <si>
    <t xml:space="preserve">V-01</t>
  </si>
  <si>
    <t xml:space="preserve">Scope</t>
  </si>
  <si>
    <t xml:space="preserve">Integration type: hris_user_sync</t>
  </si>
  <si>
    <t xml:space="preserve">Workflow tagged: hris_user_sync</t>
  </si>
  <si>
    <t xml:space="preserve">✓ PASS</t>
  </si>
  <si>
    <t xml:space="preserve">—</t>
  </si>
  <si>
    <t xml:space="preserve">V-02</t>
  </si>
  <si>
    <t xml:space="preserve">Identity</t>
  </si>
  <si>
    <t xml:space="preserve">Records match on Employee_ID → external_id</t>
  </si>
  <si>
    <t xml:space="preserve">Match on external_id; external_id ← Employee_ID</t>
  </si>
  <si>
    <t xml:space="preserve">V-03</t>
  </si>
  <si>
    <t xml:space="preserve">external_id ← Employee_ID</t>
  </si>
  <si>
    <t xml:space="preserve">V-04</t>
  </si>
  <si>
    <t xml:space="preserve">email ← Work_Email</t>
  </si>
  <si>
    <t xml:space="preserve">V-05</t>
  </si>
  <si>
    <t xml:space="preserve">first_name ← Preferred_First_Name</t>
  </si>
  <si>
    <t xml:space="preserve">V-06</t>
  </si>
  <si>
    <t xml:space="preserve">last_name ← Last_Name</t>
  </si>
  <si>
    <t xml:space="preserve">V-07</t>
  </si>
  <si>
    <t xml:space="preserve">hire_date ← Hire_Date</t>
  </si>
  <si>
    <t xml:space="preserve">V-08</t>
  </si>
  <si>
    <t xml:space="preserve">status ← Worker_Status</t>
  </si>
  <si>
    <t xml:space="preserve">V-09</t>
  </si>
  <si>
    <t xml:space="preserve">department ← Department</t>
  </si>
  <si>
    <t xml:space="preserve">V-10</t>
  </si>
  <si>
    <t xml:space="preserve">job_title ← Job_Title</t>
  </si>
  <si>
    <t xml:space="preserve">V-11</t>
  </si>
  <si>
    <t xml:space="preserve">location ← Work_Location</t>
  </si>
  <si>
    <t xml:space="preserve">V-12</t>
  </si>
  <si>
    <t xml:space="preserve">manager_email ← Manager_Email</t>
  </si>
  <si>
    <t xml:space="preserve">V-13</t>
  </si>
  <si>
    <t xml:space="preserve">employee_class ← Employee_Class</t>
  </si>
  <si>
    <t xml:space="preserve">V-15</t>
  </si>
  <si>
    <t xml:space="preserve">Population filter</t>
  </si>
  <si>
    <t xml:space="preserve">Employee_Class not_in CONTRACTOR, INTERN, SEASONAL</t>
  </si>
  <si>
    <t xml:space="preserve">V-17</t>
  </si>
  <si>
    <t xml:space="preserve">Lifecycle</t>
  </si>
  <si>
    <t xml:space="preserve">Status 'Active' → active</t>
  </si>
  <si>
    <t xml:space="preserve">V-18</t>
  </si>
  <si>
    <t xml:space="preserve">Status 'On Leave' → active</t>
  </si>
  <si>
    <t xml:space="preserve">V-19</t>
  </si>
  <si>
    <t xml:space="preserve">Status 'Terminated' → inactive</t>
  </si>
  <si>
    <t xml:space="preserve">V-20</t>
  </si>
  <si>
    <t xml:space="preserve">Worker missing from feed → deactivate</t>
  </si>
  <si>
    <t xml:space="preserve">V-21</t>
  </si>
  <si>
    <t xml:space="preserve">Error handling</t>
  </si>
  <si>
    <t xml:space="preserve">Retry on HTTP 429, 500, 503</t>
  </si>
  <si>
    <t xml:space="preserve">Retries on 429, 500, 503</t>
  </si>
  <si>
    <t xml:space="preserve">Field Mappings</t>
  </si>
  <si>
    <t xml:space="preserve">Every field written to Learning Platform, plus agreed fields not yet built</t>
  </si>
  <si>
    <t xml:space="preserve">Customer: check each field against one real record and set Verified. Sample values come from persona P-02 on Test Data.</t>
  </si>
  <si>
    <t xml:space="preserve">#</t>
  </si>
  <si>
    <t xml:space="preserve">Source field (Workday)</t>
  </si>
  <si>
    <t xml:space="preserve">Target field (Learning Platform)</t>
  </si>
  <si>
    <t xml:space="preserve">Agreed source (spec)</t>
  </si>
  <si>
    <t xml:space="preserve">Transform</t>
  </si>
  <si>
    <t xml:space="preserve">Sample value</t>
  </si>
  <si>
    <t xml:space="preserve">Flag</t>
  </si>
  <si>
    <t xml:space="preserve">Verified</t>
  </si>
  <si>
    <t xml:space="preserve">Notes</t>
  </si>
  <si>
    <t xml:space="preserve">Employee_ID</t>
  </si>
  <si>
    <t xml:space="preserve">HF-11802</t>
  </si>
  <si>
    <t xml:space="preserve">Work_Email</t>
  </si>
  <si>
    <t xml:space="preserve">email</t>
  </si>
  <si>
    <t xml:space="preserve">lowercase</t>
  </si>
  <si>
    <t xml:space="preserve">devon.akintola@halvorsenfreight.example</t>
  </si>
  <si>
    <t xml:space="preserve">Preferred_First_Name</t>
  </si>
  <si>
    <t xml:space="preserve">first_name</t>
  </si>
  <si>
    <t xml:space="preserve">Devon</t>
  </si>
  <si>
    <t xml:space="preserve">Last_Name</t>
  </si>
  <si>
    <t xml:space="preserve">last_name</t>
  </si>
  <si>
    <t xml:space="preserve">Akintola</t>
  </si>
  <si>
    <t xml:space="preserve">Hire_Date</t>
  </si>
  <si>
    <t xml:space="preserve">hire_date</t>
  </si>
  <si>
    <t xml:space="preserve">date:YYYY-MM-DD</t>
  </si>
  <si>
    <t xml:space="preserve">2019-03-04</t>
  </si>
  <si>
    <t xml:space="preserve">Worker_Status</t>
  </si>
  <si>
    <t xml:space="preserve">status</t>
  </si>
  <si>
    <t xml:space="preserve">value_map: Active→active, On Leave→active, Terminated→inactive</t>
  </si>
  <si>
    <t xml:space="preserve">Active</t>
  </si>
  <si>
    <t xml:space="preserve">Department</t>
  </si>
  <si>
    <t xml:space="preserve">department</t>
  </si>
  <si>
    <t xml:space="preserve">Fleet Maintenance</t>
  </si>
  <si>
    <t xml:space="preserve">Job_Title</t>
  </si>
  <si>
    <t xml:space="preserve">job_title</t>
  </si>
  <si>
    <t xml:space="preserve">Diesel Technician II</t>
  </si>
  <si>
    <t xml:space="preserve">Work_Location</t>
  </si>
  <si>
    <t xml:space="preserve">location</t>
  </si>
  <si>
    <t xml:space="preserve">Gary, IN</t>
  </si>
  <si>
    <t xml:space="preserve">Manager_Email</t>
  </si>
  <si>
    <t xml:space="preserve">manager_email</t>
  </si>
  <si>
    <t xml:space="preserve">lena.kovacs@halvorsenfreight.example</t>
  </si>
  <si>
    <t xml:space="preserve">Employee_Class</t>
  </si>
  <si>
    <t xml:space="preserve">employee_class</t>
  </si>
  <si>
    <t xml:space="preserve">FULL_TIME</t>
  </si>
  <si>
    <t xml:space="preserve">Cost_Center</t>
  </si>
  <si>
    <t xml:space="preserve">cost_center</t>
  </si>
  <si>
    <t xml:space="preserve">— not in spec —</t>
  </si>
  <si>
    <t xml:space="preserve">ℹ V-14</t>
  </si>
  <si>
    <t xml:space="preserve">Test Cases</t>
  </si>
  <si>
    <t xml:space="preserve">Halvorsen Freight · HRIS User Sync · Workday → Learning Platform</t>
  </si>
  <si>
    <t xml:space="preserve">Yellow cells are for the tester. Set Status from the dropdown; log every ✗ Fail or ⚠ Blocked in the Issue Log and put its ID here.</t>
  </si>
  <si>
    <t xml:space="preserve">TC ID</t>
  </si>
  <si>
    <t xml:space="preserve">Scenario</t>
  </si>
  <si>
    <t xml:space="preserve">Type</t>
  </si>
  <si>
    <t xml:space="preserve">Test data</t>
  </si>
  <si>
    <t xml:space="preserve">Preconditions</t>
  </si>
  <si>
    <t xml:space="preserve">Steps</t>
  </si>
  <si>
    <t xml:space="preserve">Expected result</t>
  </si>
  <si>
    <t xml:space="preserve">Actual result</t>
  </si>
  <si>
    <t xml:space="preserve">Status</t>
  </si>
  <si>
    <t xml:space="preserve">Tester</t>
  </si>
  <si>
    <t xml:space="preserve">Date</t>
  </si>
  <si>
    <t xml:space="preserve">Issue ID</t>
  </si>
  <si>
    <t xml:space="preserve">Pre-UAT dependency</t>
  </si>
  <si>
    <t xml:space="preserve">TC-01</t>
  </si>
  <si>
    <t xml:space="preserve">New hire is created</t>
  </si>
  <si>
    <t xml:space="preserve">Core</t>
  </si>
  <si>
    <t xml:space="preserve">P-01</t>
  </si>
  <si>
    <t xml:space="preserve">P-01 exists in Workday with a future-dated or current hire date; not yet in Learning Platform.</t>
  </si>
  <si>
    <t xml:space="preserve">1. Confirm P-01 is in the source report.
2. Run the sync (or wait for the next scheduled run).
3. Search Learning Platform for external_id HF-20417.</t>
  </si>
  <si>
    <t xml:space="preserve">User created with external_id, email, name and every mapped field populated (check against Field Mappings tab).</t>
  </si>
  <si>
    <t xml:space="preserve">○ Not run</t>
  </si>
  <si>
    <t xml:space="preserve">TC-02</t>
  </si>
  <si>
    <t xml:space="preserve">All mapped fields populate correctly</t>
  </si>
  <si>
    <t xml:space="preserve">P-02</t>
  </si>
  <si>
    <t xml:space="preserve">P-02 already active in both systems.</t>
  </si>
  <si>
    <t xml:space="preserve">1. Export P-02's record from Workday.
2. Open the user in Learning Platform.
3. Compare each field listed on the Field Mappings tab.</t>
  </si>
  <si>
    <t xml:space="preserve">Every field matches the source value after transforms; mark each row Verified on the Field Mappings tab.</t>
  </si>
  <si>
    <t xml:space="preserve">TC-03</t>
  </si>
  <si>
    <t xml:space="preserve">Attribute update propagates</t>
  </si>
  <si>
    <t xml:space="preserve">P-02 active and synced.</t>
  </si>
  <si>
    <t xml:space="preserve">1. In Workday, change P-02's Job_Title to 'Diesel Technician III'.
2. Run the sync (or wait for the next scheduled run).
3. Check the user in Learning Platform.</t>
  </si>
  <si>
    <t xml:space="preserve">Job title updates on the existing user. No duplicate user is created.</t>
  </si>
  <si>
    <t xml:space="preserve">TC-04</t>
  </si>
  <si>
    <t xml:space="preserve">Termination deactivates the user</t>
  </si>
  <si>
    <t xml:space="preserve">Edge</t>
  </si>
  <si>
    <t xml:space="preserve">P-03</t>
  </si>
  <si>
    <t xml:space="preserve">P-03 active in both systems.</t>
  </si>
  <si>
    <t xml:space="preserve">1. Terminate P-03 in Workday (effective today).
2. Run the sync (or wait for the next scheduled run).
3. Check P-03 in Learning Platform.</t>
  </si>
  <si>
    <t xml:space="preserve">User is set to inactive and stops receiving content. Completion history is retained.</t>
  </si>
  <si>
    <t xml:space="preserve">TC-05</t>
  </si>
  <si>
    <t xml:space="preserve">Leave of absence keeps the user active</t>
  </si>
  <si>
    <t xml:space="preserve">P-05</t>
  </si>
  <si>
    <t xml:space="preserve">P-05 active in both systems.</t>
  </si>
  <si>
    <t xml:space="preserve">1. Place P-05 on leave in Workday.
2. Run the sync (or wait for the next scheduled run).
3. Check P-05 in Learning Platform.</t>
  </si>
  <si>
    <t xml:space="preserve">User remains active (per signed spec). Status field reflects leave if exposed.</t>
  </si>
  <si>
    <t xml:space="preserve">TC-06</t>
  </si>
  <si>
    <t xml:space="preserve">Rehire reactivates the original user</t>
  </si>
  <si>
    <t xml:space="preserve">P-04</t>
  </si>
  <si>
    <t xml:space="preserve">P-04 was terminated in 2024 and has an inactive user in the target. Rehired 2026-10-05 under the same Employee_ID.</t>
  </si>
  <si>
    <t xml:space="preserve">1. Confirm P-04 shows Hire_Date 2026-10-05 and Original_Hire_Date 2017-08-21 in Workday.
2. Run the sync (or wait for the next scheduled run).
3. Check P-04 in Learning Platform.</t>
  </si>
  <si>
    <t xml:space="preserve">Existing user is reactivated (no duplicate) and hire_date = 2026-10-05 so new-hire content is assigned.</t>
  </si>
  <si>
    <t xml:space="preserve">TC-07</t>
  </si>
  <si>
    <t xml:space="preserve">Email change updates, does not duplicate</t>
  </si>
  <si>
    <t xml:space="preserve">P-06</t>
  </si>
  <si>
    <t xml:space="preserve">P-06 active and synced with jordan.whitaker-lee@….</t>
  </si>
  <si>
    <t xml:space="preserve">1. Change P-06's Work_Email to jordan.lee@halvorsenfreight.example in Workday.
2. Run the sync (or wait for the next scheduled run).
3. Search Learning Platform by external_id HF-15560.</t>
  </si>
  <si>
    <t xml:space="preserve">Same user now shows the new email. No second account. SSO login still works.</t>
  </si>
  <si>
    <t xml:space="preserve">TC-08</t>
  </si>
  <si>
    <t xml:space="preserve">Name change propagates</t>
  </si>
  <si>
    <t xml:space="preserve">P-06 active and synced.</t>
  </si>
  <si>
    <t xml:space="preserve">1. Change P-06's Last_Name to 'Lee' in Workday.
2. Run the sync (or wait for the next scheduled run).</t>
  </si>
  <si>
    <t xml:space="preserve">Last name updates on the existing user; display name refreshes in reports.</t>
  </si>
  <si>
    <t xml:space="preserve">TC-09</t>
  </si>
  <si>
    <t xml:space="preserve">Excluded class (contractor) is not created</t>
  </si>
  <si>
    <t xml:space="preserve">P-07</t>
  </si>
  <si>
    <t xml:space="preserve">P-07 has Employee_Class = CONTRACTOR.</t>
  </si>
  <si>
    <t xml:space="preserve">1. Confirm P-07 appears in the source report.
2. Run the sync (or wait for the next scheduled run).
3. Search Learning Platform for P-07's Employee_ID.</t>
  </si>
  <si>
    <t xml:space="preserve">No user is created. The record is skipped by the population filter.</t>
  </si>
  <si>
    <t xml:space="preserve">TC-10</t>
  </si>
  <si>
    <t xml:space="preserve">Excluded class (seasonal) is not created</t>
  </si>
  <si>
    <t xml:space="preserve">P-08</t>
  </si>
  <si>
    <t xml:space="preserve">P-08 has Employee_Class = SEASONAL.</t>
  </si>
  <si>
    <t xml:space="preserve">1. Confirm P-08 appears in the source report.
2. Run the sync (or wait for the next scheduled run).
3. Search Learning Platform for P-08's Employee_ID.</t>
  </si>
  <si>
    <t xml:space="preserve">TC-11</t>
  </si>
  <si>
    <t xml:space="preserve">Duplicate email across two workers</t>
  </si>
  <si>
    <t xml:space="preserve">P-09 / P-10</t>
  </si>
  <si>
    <t xml:space="preserve">P-09 and P-10 share chris.nguyen@… with different Employee_IDs.</t>
  </si>
  <si>
    <t xml:space="preserve">1. Run the sync (or wait for the next scheduled run).
2. Check the error log and both Employee_IDs in Learning Platform.</t>
  </si>
  <si>
    <t xml:space="preserve">Records are NOT merged. Second record is rejected and logged for HRIS cleanup; first user unaffected.</t>
  </si>
  <si>
    <t xml:space="preserve">TC-12</t>
  </si>
  <si>
    <t xml:space="preserve">Special characters are preserved</t>
  </si>
  <si>
    <t xml:space="preserve">P-11</t>
  </si>
  <si>
    <t xml:space="preserve">P-11 has diacritics and a hyphenated surname.</t>
  </si>
  <si>
    <t xml:space="preserve">1. Run the sync (or wait for the next scheduled run).
2. Open P-11 in Learning Platform and in a report export.</t>
  </si>
  <si>
    <t xml:space="preserve">Name displays exactly as in source (Zoë Ó Briain-Søndergaard) in UI and CSV export.</t>
  </si>
  <si>
    <t xml:space="preserve">TC-13</t>
  </si>
  <si>
    <t xml:space="preserve">Record missing a required field is rejected cleanly</t>
  </si>
  <si>
    <t xml:space="preserve">P-12</t>
  </si>
  <si>
    <t xml:space="preserve">P-12 has no Work_Email.</t>
  </si>
  <si>
    <t xml:space="preserve">1. Run the sync (or wait for the next scheduled run).
2. Check the integration error log.</t>
  </si>
  <si>
    <t xml:space="preserve">Record is skipped and logged with a readable reason. The rest of the batch completes.</t>
  </si>
  <si>
    <t xml:space="preserve">TC-14</t>
  </si>
  <si>
    <t xml:space="preserve">Manager change updates reporting line</t>
  </si>
  <si>
    <t xml:space="preserve">P-13</t>
  </si>
  <si>
    <t xml:space="preserve">P-13 synced with manager lena.kovacs@….</t>
  </si>
  <si>
    <t xml:space="preserve">1. Change P-13's manager in Workday to tomas.berg@….
2. Run the sync (or wait for the next scheduled run).
3. Check P-13's manager in Learning Platform.</t>
  </si>
  <si>
    <t xml:space="preserve">manager_email updates; P-13 moves to the new manager's team view.</t>
  </si>
  <si>
    <t xml:space="preserve">TC-15</t>
  </si>
  <si>
    <t xml:space="preserve">Worker who drops off the feed</t>
  </si>
  <si>
    <t xml:space="preserve">A terminated worker ages out of the report window (include_terminated_days).</t>
  </si>
  <si>
    <t xml:space="preserve">1. Remove P-03 from the source report (or wait past the window).
2. Run the sync (or wait for the next scheduled run).</t>
  </si>
  <si>
    <t xml:space="preserve">User is handled per spec: deactivate. No error is raised.</t>
  </si>
  <si>
    <t xml:space="preserve">TC-16</t>
  </si>
  <si>
    <t xml:space="preserve">Full-population reconciliation</t>
  </si>
  <si>
    <t xml:space="preserve">First full run in the test tenant.</t>
  </si>
  <si>
    <t xml:space="preserve">1. Count workers in the source report.
2. Subtract excluded classes.
3. Compare to active users in Learning Platform.</t>
  </si>
  <si>
    <t xml:space="preserve">Counts reconcile exactly. Any difference is explained in the Issue Log.</t>
  </si>
  <si>
    <t xml:space="preserve">Test Data</t>
  </si>
  <si>
    <t xml:space="preserve">Fictional personas the test cases use</t>
  </si>
  <si>
    <t xml:space="preserve">Create or modify these records in the TEST tenant only. Times are the customer's local time zone.</t>
  </si>
  <si>
    <t xml:space="preserve">Persona</t>
  </si>
  <si>
    <t xml:space="preserve">Original_Hire_Date</t>
  </si>
  <si>
    <t xml:space="preserve">New hire</t>
  </si>
  <si>
    <t xml:space="preserve">HF-20417</t>
  </si>
  <si>
    <t xml:space="preserve">Renata</t>
  </si>
  <si>
    <t xml:space="preserve">Alcott</t>
  </si>
  <si>
    <t xml:space="preserve">renata.alcott@halvorsenfreight.example</t>
  </si>
  <si>
    <t xml:space="preserve">2026-10-12</t>
  </si>
  <si>
    <t xml:space="preserve">Operations</t>
  </si>
  <si>
    <t xml:space="preserve">Dispatch Coordinator</t>
  </si>
  <si>
    <t xml:space="preserve">Joliet, IL</t>
  </si>
  <si>
    <t xml:space="preserve">tomas.berg@halvorsenfreight.example</t>
  </si>
  <si>
    <t xml:space="preserve">Existing active worker</t>
  </si>
  <si>
    <t xml:space="preserve">Termination</t>
  </si>
  <si>
    <t xml:space="preserve">HF-14455</t>
  </si>
  <si>
    <t xml:space="preserve">Graham</t>
  </si>
  <si>
    <t xml:space="preserve">Pell</t>
  </si>
  <si>
    <t xml:space="preserve">graham.pell@halvorsenfreight.example</t>
  </si>
  <si>
    <t xml:space="preserve">Terminated</t>
  </si>
  <si>
    <t xml:space="preserve">2021-06-14</t>
  </si>
  <si>
    <t xml:space="preserve">Sales</t>
  </si>
  <si>
    <t xml:space="preserve">Account Executive</t>
  </si>
  <si>
    <t xml:space="preserve">Chicago, IL</t>
  </si>
  <si>
    <t xml:space="preserve">maya.shah@halvorsenfreight.example</t>
  </si>
  <si>
    <t xml:space="preserve">Rehire</t>
  </si>
  <si>
    <t xml:space="preserve">HF-09310</t>
  </si>
  <si>
    <t xml:space="preserve">Lucia</t>
  </si>
  <si>
    <t xml:space="preserve">Ferreira</t>
  </si>
  <si>
    <t xml:space="preserve">lucia.ferreira@halvorsenfreight.example</t>
  </si>
  <si>
    <t xml:space="preserve">2026-10-05</t>
  </si>
  <si>
    <t xml:space="preserve">2017-08-21</t>
  </si>
  <si>
    <t xml:space="preserve">Warehouse</t>
  </si>
  <si>
    <t xml:space="preserve">Shift Lead</t>
  </si>
  <si>
    <t xml:space="preserve">Leave of absence</t>
  </si>
  <si>
    <t xml:space="preserve">HF-12871</t>
  </si>
  <si>
    <t xml:space="preserve">Samir</t>
  </si>
  <si>
    <t xml:space="preserve">Haddad</t>
  </si>
  <si>
    <t xml:space="preserve">samir.haddad@halvorsenfreight.example</t>
  </si>
  <si>
    <t xml:space="preserve">On Leave</t>
  </si>
  <si>
    <t xml:space="preserve">2020-01-13</t>
  </si>
  <si>
    <t xml:space="preserve">Finance</t>
  </si>
  <si>
    <t xml:space="preserve">AP Specialist</t>
  </si>
  <si>
    <t xml:space="preserve">Email / name change</t>
  </si>
  <si>
    <t xml:space="preserve">HF-15560</t>
  </si>
  <si>
    <t xml:space="preserve">Jordan</t>
  </si>
  <si>
    <t xml:space="preserve">Whitaker-Lee</t>
  </si>
  <si>
    <t xml:space="preserve">jordan.whitaker-lee@halvorsenfreight.example</t>
  </si>
  <si>
    <t xml:space="preserve">2022-02-07</t>
  </si>
  <si>
    <t xml:space="preserve">HR</t>
  </si>
  <si>
    <t xml:space="preserve">HR Business Partner</t>
  </si>
  <si>
    <t xml:space="preserve">Excluded class (contractor)</t>
  </si>
  <si>
    <t xml:space="preserve">HF-C0381</t>
  </si>
  <si>
    <t xml:space="preserve">Ines</t>
  </si>
  <si>
    <t xml:space="preserve">Moreau</t>
  </si>
  <si>
    <t xml:space="preserve">ines.moreau@halvorsenfreight.example</t>
  </si>
  <si>
    <t xml:space="preserve">CONTRACTOR</t>
  </si>
  <si>
    <t xml:space="preserve">2026-09-01</t>
  </si>
  <si>
    <t xml:space="preserve">IT</t>
  </si>
  <si>
    <t xml:space="preserve">Network Consultant</t>
  </si>
  <si>
    <t xml:space="preserve">Remote</t>
  </si>
  <si>
    <t xml:space="preserve">Excluded class (seasonal)</t>
  </si>
  <si>
    <t xml:space="preserve">HF-S1142</t>
  </si>
  <si>
    <t xml:space="preserve">Kwame</t>
  </si>
  <si>
    <t xml:space="preserve">Boateng</t>
  </si>
  <si>
    <t xml:space="preserve">kwame.boateng@halvorsenfreight.example</t>
  </si>
  <si>
    <t xml:space="preserve">SEASONAL</t>
  </si>
  <si>
    <t xml:space="preserve">2026-10-01</t>
  </si>
  <si>
    <t xml:space="preserve">Seasonal Loader</t>
  </si>
  <si>
    <t xml:space="preserve">P-09</t>
  </si>
  <si>
    <t xml:space="preserve">Duplicate email</t>
  </si>
  <si>
    <t xml:space="preserve">HF-16023</t>
  </si>
  <si>
    <t xml:space="preserve">Chris</t>
  </si>
  <si>
    <t xml:space="preserve">Nguyen</t>
  </si>
  <si>
    <t xml:space="preserve">chris.nguyen@halvorsenfreight.example</t>
  </si>
  <si>
    <t xml:space="preserve">2023-05-15</t>
  </si>
  <si>
    <t xml:space="preserve">Route Planner</t>
  </si>
  <si>
    <t xml:space="preserve">P-10</t>
  </si>
  <si>
    <t xml:space="preserve">Duplicate email (2nd record)</t>
  </si>
  <si>
    <t xml:space="preserve">HF-16024</t>
  </si>
  <si>
    <t xml:space="preserve">Christine</t>
  </si>
  <si>
    <t xml:space="preserve">PART_TIME</t>
  </si>
  <si>
    <t xml:space="preserve">2026-09-22</t>
  </si>
  <si>
    <t xml:space="preserve">Customer Service</t>
  </si>
  <si>
    <t xml:space="preserve">CS Representative</t>
  </si>
  <si>
    <t xml:space="preserve">Special characters</t>
  </si>
  <si>
    <t xml:space="preserve">HF-17788</t>
  </si>
  <si>
    <t xml:space="preserve">Zoë</t>
  </si>
  <si>
    <t xml:space="preserve">Ó Briain-Søndergaard</t>
  </si>
  <si>
    <t xml:space="preserve">zoe.obriain@halvorsenfreight.example</t>
  </si>
  <si>
    <t xml:space="preserve">2024-11-04</t>
  </si>
  <si>
    <t xml:space="preserve">Legal</t>
  </si>
  <si>
    <t xml:space="preserve">Contracts Manager</t>
  </si>
  <si>
    <t xml:space="preserve">Missing required field</t>
  </si>
  <si>
    <t xml:space="preserve">HF-18120</t>
  </si>
  <si>
    <t xml:space="preserve">Pat</t>
  </si>
  <si>
    <t xml:space="preserve">Delgado</t>
  </si>
  <si>
    <t xml:space="preserve">2026-10-06</t>
  </si>
  <si>
    <t xml:space="preserve">Forklift Operator</t>
  </si>
  <si>
    <t xml:space="preserve">Manager change</t>
  </si>
  <si>
    <t xml:space="preserve">HF-13002</t>
  </si>
  <si>
    <t xml:space="preserve">Aisha</t>
  </si>
  <si>
    <t xml:space="preserve">Rahman</t>
  </si>
  <si>
    <t xml:space="preserve">aisha.rahman@halvorsenfreight.example</t>
  </si>
  <si>
    <t xml:space="preserve">2018-09-10</t>
  </si>
  <si>
    <t xml:space="preserve">Terminal Manager</t>
  </si>
  <si>
    <t xml:space="preserve">Issue Log</t>
  </si>
  <si>
    <t xml:space="preserve">Every failed or blocked test case gets a row here</t>
  </si>
  <si>
    <t xml:space="preserve">Row 7 is a greyed-out example showing the format; it is not counted. Log issues from row 8.</t>
  </si>
  <si>
    <t xml:space="preserve">Description</t>
  </si>
  <si>
    <t xml:space="preserve">Owner</t>
  </si>
  <si>
    <t xml:space="preserve">Opened</t>
  </si>
  <si>
    <t xml:space="preserve">Closed</t>
  </si>
  <si>
    <t xml:space="preserve">ISS-000</t>
  </si>
  <si>
    <t xml:space="preserve">High</t>
  </si>
  <si>
    <t xml:space="preserve">Rehired worker created as a new user instead of reactivating the original.</t>
  </si>
  <si>
    <t xml:space="preserve">Integration team</t>
  </si>
  <si>
    <t xml:space="preserve">2026-10-09</t>
  </si>
  <si>
    <t xml:space="preserve">Example</t>
  </si>
  <si>
    <t xml:space="preserve">Hire date source corrected; re-tested OK.</t>
  </si>
  <si>
    <t xml:space="preserve">ISS-001</t>
  </si>
  <si>
    <t xml:space="preserve">ISS-002</t>
  </si>
  <si>
    <t xml:space="preserve">ISS-003</t>
  </si>
  <si>
    <t xml:space="preserve">ISS-004</t>
  </si>
  <si>
    <t xml:space="preserve">ISS-005</t>
  </si>
  <si>
    <t xml:space="preserve">ISS-006</t>
  </si>
  <si>
    <t xml:space="preserve">ISS-007</t>
  </si>
  <si>
    <t xml:space="preserve">ISS-008</t>
  </si>
  <si>
    <t xml:space="preserve">ISS-009</t>
  </si>
  <si>
    <t xml:space="preserve">ISS-010</t>
  </si>
  <si>
    <t xml:space="preserve">ISS-011</t>
  </si>
  <si>
    <t xml:space="preserve">ISS-012</t>
  </si>
  <si>
    <t xml:space="preserve">ISS-013</t>
  </si>
  <si>
    <t xml:space="preserve">ISS-014</t>
  </si>
  <si>
    <t xml:space="preserve">ISS-015</t>
  </si>
  <si>
    <t xml:space="preserve">ISS-016</t>
  </si>
  <si>
    <t xml:space="preserve">ISS-017</t>
  </si>
  <si>
    <t xml:space="preserve">ISS-018</t>
  </si>
  <si>
    <t xml:space="preserve">ISS-019</t>
  </si>
  <si>
    <t xml:space="preserve">ISS-020</t>
  </si>
  <si>
    <t xml:space="preserve">ISS-021</t>
  </si>
  <si>
    <t xml:space="preserve">ISS-022</t>
  </si>
  <si>
    <t xml:space="preserve">ISS-023</t>
  </si>
  <si>
    <t xml:space="preserve">ISS-024</t>
  </si>
  <si>
    <t xml:space="preserve">ISS-025</t>
  </si>
  <si>
    <t xml:space="preserve">ISS-026</t>
  </si>
  <si>
    <t xml:space="preserve">ISS-027</t>
  </si>
  <si>
    <t xml:space="preserve">ISS-028</t>
  </si>
  <si>
    <t xml:space="preserve">ISS-029</t>
  </si>
  <si>
    <t xml:space="preserve">ISS-030</t>
  </si>
  <si>
    <t xml:space="preserve">UAT Sign-off</t>
  </si>
  <si>
    <t xml:space="preserve">Halvorsen Freight · HRIS User Sync</t>
  </si>
  <si>
    <t xml:space="preserve">Criteria are formulas and update as the workbook is filled in. Sign only when every criterion reads ✓ Met.</t>
  </si>
  <si>
    <t xml:space="preserve">Criterion</t>
  </si>
  <si>
    <t xml:space="preserve">No failing pre-UAT checks</t>
  </si>
  <si>
    <t xml:space="preserve">Every Core test case passed</t>
  </si>
  <si>
    <t xml:space="preserve">Every Edge test case run, nothing blocked</t>
  </si>
  <si>
    <t xml:space="preserve">No open High-severity issues</t>
  </si>
  <si>
    <t xml:space="preserve">Every field mapping verified</t>
  </si>
  <si>
    <t xml:space="preserve">APPROVALS</t>
  </si>
  <si>
    <t xml:space="preserve">Name</t>
  </si>
  <si>
    <t xml:space="preserve">Role</t>
  </si>
  <si>
    <t xml:space="preserve">Signature</t>
  </si>
  <si>
    <t xml:space="preserve">Dana Whitfield</t>
  </si>
  <si>
    <t xml:space="preserve">HRIS Manager, Halvorsen Freight</t>
  </si>
  <si>
    <t xml:space="preserve">Marcus Oyelaran</t>
  </si>
  <si>
    <t xml:space="preserve">IT Integration Lead, Halvorsen Freight</t>
  </si>
  <si>
    <t xml:space="preserve">Integration Engineer</t>
  </si>
  <si>
    <t xml:space="preserve">AI Instructions</t>
  </si>
  <si>
    <t xml:space="preserve">For Claude (or any agent) maintaining this workbook. Humans can skip this tab.</t>
  </si>
  <si>
    <t xml:space="preserve">Topic</t>
  </si>
  <si>
    <t xml:space="preserve">Instruction</t>
  </si>
  <si>
    <t xml:space="preserve">Source of truth</t>
  </si>
  <si>
    <t xml:space="preserve">The workflow export and the signed requirements spec. Never invent fields, values or customer decisions.</t>
  </si>
  <si>
    <t xml:space="preserve">Regenerating</t>
  </si>
  <si>
    <t xml:space="preserve">When the workflow changes, re-run generate_uat.py with the new export. Check IDs are stable between runs. Carry over Actual result, Status, Tester, Date and Issue ID by matching on Scenario, not TC ID.</t>
  </si>
  <si>
    <t xml:space="preserve">Validation</t>
  </si>
  <si>
    <t xml:space="preserve">A ✗ FAIL on Pre-UAT Validation blocks customer testing. Summarise each FAIL in plain language with the fix, ordered by severity. ⚠ WARN and ℹ INFO items need a customer decision, not a silent fix.</t>
  </si>
  <si>
    <t xml:space="preserve">Test cases</t>
  </si>
  <si>
    <t xml:space="preserve">Add a case only when the workflow or spec introduces a behaviour not already covered. Each case needs a persona from Test Data, numbered steps and one observable expected result.</t>
  </si>
  <si>
    <t xml:space="preserve">All personas are fictional and live in the TEST tenant. Never copy production records into this workbook.</t>
  </si>
  <si>
    <t xml:space="preserve">Tone</t>
  </si>
  <si>
    <t xml:space="preserve">Customer-facing. Short sentences, no internal jargon, no blame. Name systems the way the customer does.</t>
  </si>
  <si>
    <t xml:space="preserve">Sign-off</t>
  </si>
  <si>
    <t xml:space="preserve">Do not type ✓ Met by hand. Criteria are formulas; fix the underlying data instead.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</si>
</sst>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A5B4FC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sz val="10"/>
      <color rgb="FFCBD5E1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9"/>
      <color rgb="FF64748B"/>
      <name val="Arial"/>
      <family val="0"/>
      <charset val="1"/>
    </font>
    <font>
      <b val="true"/>
      <sz val="30"/>
      <color rgb="FF0F172A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4F46E5"/>
      <name val="Arial"/>
      <family val="0"/>
      <charset val="1"/>
    </font>
    <font>
      <sz val="12"/>
      <color rgb="FF4F46E5"/>
      <name val="Arial"/>
      <family val="0"/>
      <charset val="1"/>
    </font>
    <font>
      <b val="true"/>
      <sz val="13"/>
      <color rgb="FF0F172A"/>
      <name val="Arial"/>
      <family val="0"/>
      <charset val="1"/>
    </font>
    <font>
      <b val="true"/>
      <sz val="10"/>
      <color rgb="FF64748B"/>
      <name val="Arial"/>
      <family val="0"/>
      <charset val="1"/>
    </font>
    <font>
      <sz val="10"/>
      <color rgb="FF0F172A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i val="true"/>
      <sz val="9"/>
      <color rgb="FF94A3B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4F46E5"/>
        <bgColor rgb="FF1D4ED8"/>
      </patternFill>
    </fill>
    <fill>
      <patternFill patternType="solid">
        <fgColor rgb="FF1E293B"/>
        <bgColor rgb="FF0F172A"/>
      </patternFill>
    </fill>
    <fill>
      <patternFill patternType="solid">
        <fgColor rgb="FFF8FAFC"/>
        <bgColor rgb="FFFFFFFF"/>
      </patternFill>
    </fill>
    <fill>
      <patternFill patternType="solid">
        <fgColor rgb="FFFFF8DB"/>
        <bgColor rgb="FFFFF1C2"/>
      </patternFill>
    </fill>
    <fill>
      <patternFill patternType="solid">
        <fgColor rgb="FFE0E9FF"/>
        <bgColor rgb="FFE2E8F0"/>
      </patternFill>
    </fill>
    <fill>
      <patternFill patternType="solid">
        <fgColor rgb="FFF1F5F9"/>
        <bgColor rgb="FFEEF2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4F46E5"/>
      </bottom>
      <diagonal/>
    </border>
    <border diagonalUp="false" diagonalDown="false">
      <left/>
      <right/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9" fillId="5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0" fillId="5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top" textRotation="0" wrapText="false" indent="1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8" fillId="4" borderId="0" xfId="0" applyFont="true" applyBorder="false" applyAlignment="true" applyProtection="true">
      <alignment horizontal="general" vertical="center" textRotation="0" wrapText="true" indent="1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0" borderId="2" xfId="0" applyFont="true" applyBorder="true" applyAlignment="true" applyProtection="true">
      <alignment horizontal="general" vertical="top" textRotation="0" wrapText="true" indent="1" shrinkToFit="false"/>
      <protection locked="true" hidden="false"/>
    </xf>
    <xf numFmtId="164" fontId="15" fillId="6" borderId="2" xfId="0" applyFont="true" applyBorder="true" applyAlignment="true" applyProtection="true">
      <alignment horizontal="general" vertical="top" textRotation="0" wrapText="true" indent="1" shrinkToFit="false"/>
      <protection locked="true" hidden="false"/>
    </xf>
    <xf numFmtId="164" fontId="15" fillId="5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5" borderId="2" xfId="0" applyFont="true" applyBorder="true" applyAlignment="true" applyProtection="true">
      <alignment horizontal="general" vertical="top" textRotation="0" wrapText="true" indent="1" shrinkToFit="false"/>
      <protection locked="true" hidden="false"/>
    </xf>
    <xf numFmtId="164" fontId="19" fillId="7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6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0" fillId="8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0" fillId="8" borderId="2" xfId="0" applyFont="true" applyBorder="true" applyAlignment="true" applyProtection="true">
      <alignment horizontal="general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name val="Arial"/>
        <charset val="1"/>
        <family val="0"/>
        <b val="1"/>
        <color rgb="FFFFFFFF"/>
        <sz val="15"/>
      </font>
      <fill>
        <patternFill>
          <bgColor rgb="FFD03B3B"/>
        </patternFill>
      </fill>
    </dxf>
    <dxf>
      <font>
        <name val="Arial"/>
        <charset val="1"/>
        <family val="0"/>
        <b val="1"/>
        <color rgb="FFFFFFFF"/>
        <sz val="15"/>
      </font>
      <fill>
        <patternFill>
          <bgColor rgb="FF0B7A0B"/>
        </patternFill>
      </fill>
    </dxf>
    <dxf>
      <font>
        <name val="Arial"/>
        <charset val="1"/>
        <family val="0"/>
        <b val="1"/>
        <color rgb="FFB42318"/>
        <sz val="30"/>
      </font>
    </dxf>
    <dxf>
      <font>
        <name val="Arial"/>
        <charset val="1"/>
        <family val="0"/>
        <b val="1"/>
        <color rgb="FF0B7A0B"/>
        <sz val="30"/>
      </font>
    </dxf>
    <dxf>
      <font>
        <name val="Arial"/>
        <charset val="1"/>
        <family val="0"/>
        <b val="1"/>
        <color rgb="FF0B7A0B"/>
      </font>
      <fill>
        <patternFill>
          <bgColor rgb="FFDCF5DC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E3E1"/>
        </patternFill>
      </fill>
    </dxf>
    <dxf>
      <font>
        <name val="Arial"/>
        <charset val="1"/>
        <family val="0"/>
        <b val="1"/>
        <color rgb="FF8A5300"/>
      </font>
      <fill>
        <patternFill>
          <bgColor rgb="FFFFF1C2"/>
        </patternFill>
      </fill>
    </dxf>
    <dxf>
      <font>
        <name val="Arial"/>
        <charset val="1"/>
        <family val="0"/>
        <b val="1"/>
        <color rgb="FF1D4ED8"/>
      </font>
      <fill>
        <patternFill>
          <bgColor rgb="FFE0E9FF"/>
        </patternFill>
      </fill>
    </dxf>
    <dxf>
      <font>
        <name val="Arial"/>
        <charset val="1"/>
        <family val="0"/>
        <b val="1"/>
        <color rgb="FF64748B"/>
      </font>
      <fill>
        <patternFill>
          <bgColor rgb="FFF1F5F9"/>
        </patternFill>
      </fill>
    </dxf>
    <dxf>
      <font>
        <name val="Arial"/>
        <charset val="1"/>
        <family val="0"/>
        <b val="1"/>
        <color rgb="FFB42318"/>
      </font>
    </dxf>
    <dxf>
      <font>
        <name val="Arial"/>
        <charset val="1"/>
        <family val="0"/>
        <b val="1"/>
        <color rgb="FF4F46E5"/>
      </font>
      <fill>
        <patternFill>
          <bgColor rgb="FFEEF2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7A0B"/>
      <rgbColor rgb="FF000080"/>
      <rgbColor rgb="FF8A5300"/>
      <rgbColor rgb="FF800080"/>
      <rgbColor rgb="FF008080"/>
      <rgbColor rgb="FFE2E8F0"/>
      <rgbColor rgb="FF808080"/>
      <rgbColor rgb="FF9999FF"/>
      <rgbColor rgb="FFD03B3B"/>
      <rgbColor rgb="FFFFF8DB"/>
      <rgbColor rgb="FFE0E9FF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DCF5DC"/>
      <rgbColor rgb="FFFFF1C2"/>
      <rgbColor rgb="FFA5B4FC"/>
      <rgbColor rgb="FFF1F5F9"/>
      <rgbColor rgb="FFF8FAFC"/>
      <rgbColor rgb="FFFDE3E1"/>
      <rgbColor rgb="FF4F46E5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F172A"/>
      <rgbColor rgb="FF333300"/>
      <rgbColor rgb="FFB42318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72A"/>
    <pageSetUpPr fitToPage="true"/>
  </sheetPr>
  <dimension ref="A1:J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9" min="2" style="1" width="15"/>
    <col collapsed="false" customWidth="true" hidden="false" outlineLevel="0" max="10" min="10" style="1" width="3"/>
  </cols>
  <sheetData>
    <row r="1" customFormat="false" ht="24" hidden="false" customHeight="true" outlineLevel="0" collapsed="false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</row>
    <row r="2" customFormat="false" ht="39.75" hidden="false" customHeight="true" outlineLevel="0" collapsed="false">
      <c r="A2" s="2"/>
      <c r="B2" s="4" t="s">
        <v>1</v>
      </c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</row>
    <row r="4" customFormat="false" ht="4.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</row>
    <row r="6" customFormat="false" ht="25.5" hidden="false" customHeight="true" outlineLevel="0" collapsed="false">
      <c r="B6" s="7" t="str">
        <f aca="false">IF(COUNTIF('Pre-UAT Validation'!$E$7:$E$27,"✗ FAIL")&gt;0,"✗   NOT READY FOR CUSTOMER UAT   ·   "&amp;COUNTIF('Pre-UAT Validation'!$E$7:$E$27,"✗ FAIL")&amp;" blocking check"&amp;IF(COUNTIF('Pre-UAT Validation'!$E$7:$E$27,"✗ FAIL")=1,"","s"),IF(COUNTIF('Sign-off'!$B$7:$B$11,"✓ Met")=5,"✓   READY FOR SIGN-OFF   ·   every criterion met","▶   READY FOR CUSTOMER UAT   ·   "&amp;COUNTIF('Test Cases'!$I$7:$I$22,"○ Not run")&amp;" of "&amp;COUNTA('Test Cases'!$I$7:$I$22)&amp;" test cases to run"))</f>
        <v>▶   READY FOR CUSTOMER UAT   ·   16 of 16 test cases to run</v>
      </c>
      <c r="C6" s="7"/>
      <c r="D6" s="7"/>
      <c r="E6" s="7"/>
      <c r="F6" s="7"/>
      <c r="G6" s="7"/>
      <c r="H6" s="7"/>
      <c r="I6" s="7"/>
    </row>
    <row r="7" customFormat="false" ht="25.5" hidden="false" customHeight="true" outlineLevel="0" collapsed="false">
      <c r="B7" s="7"/>
      <c r="C7" s="7"/>
      <c r="D7" s="7"/>
      <c r="E7" s="7"/>
      <c r="F7" s="7"/>
      <c r="G7" s="7"/>
      <c r="H7" s="7"/>
      <c r="I7" s="7"/>
    </row>
    <row r="9" customFormat="false" ht="4.5" hidden="false" customHeight="true" outlineLevel="0" collapsed="false">
      <c r="B9" s="8"/>
      <c r="C9" s="8"/>
      <c r="D9" s="6"/>
      <c r="E9" s="6"/>
      <c r="F9" s="6"/>
      <c r="G9" s="6"/>
      <c r="H9" s="6"/>
      <c r="I9" s="6"/>
    </row>
    <row r="10" customFormat="false" ht="21.75" hidden="false" customHeight="true" outlineLevel="0" collapsed="false">
      <c r="B10" s="9" t="s">
        <v>3</v>
      </c>
      <c r="C10" s="9"/>
      <c r="D10" s="9" t="s">
        <v>4</v>
      </c>
      <c r="E10" s="9"/>
      <c r="F10" s="9" t="s">
        <v>5</v>
      </c>
      <c r="G10" s="9"/>
      <c r="H10" s="9" t="s">
        <v>6</v>
      </c>
      <c r="I10" s="9"/>
    </row>
    <row r="11" customFormat="false" ht="45.75" hidden="false" customHeight="true" outlineLevel="0" collapsed="false">
      <c r="B11" s="10" t="n">
        <f aca="false">COUNTIF('Pre-UAT Validation'!$E$7:$E$27,"✗ FAIL")</f>
        <v>0</v>
      </c>
      <c r="C11" s="10"/>
      <c r="D11" s="10" t="n">
        <f aca="false">COUNTA('Test Cases'!$I$7:$I$22)</f>
        <v>16</v>
      </c>
      <c r="E11" s="10"/>
      <c r="F11" s="10" t="n">
        <f aca="false">COUNTIF('Test Cases'!$I$7:$I$22,"✓ Pass")</f>
        <v>0</v>
      </c>
      <c r="G11" s="10"/>
      <c r="H11" s="10" t="n">
        <f aca="false">COUNTIF('Issue Log'!$G$8:$G$200,"Open")</f>
        <v>0</v>
      </c>
      <c r="I11" s="10"/>
    </row>
    <row r="12" customFormat="false" ht="21.75" hidden="false" customHeight="true" outlineLevel="0" collapsed="false">
      <c r="B12" s="11" t="str">
        <f aca="false">"must be 0 before UAT starts"</f>
        <v>must be 0 before UAT starts</v>
      </c>
      <c r="C12" s="11"/>
      <c r="D12" s="11" t="str">
        <f aca="false">COUNTIF('Test Cases'!$C$7:$C$22,"Core")&amp;" core  ·  "&amp;COUNTIF('Test Cases'!$C$7:$C$22,"Edge")&amp;" edge"</f>
        <v>4 core  ·  12 edge</v>
      </c>
      <c r="E12" s="11"/>
      <c r="F12" s="11" t="str">
        <f aca="false">COUNTIF('Test Cases'!$I$7:$I$22,"✗ Fail")&amp;" failed  ·  "&amp;COUNTIF('Test Cases'!$I$7:$I$22,"⚠ Blocked")&amp;" blocked"</f>
        <v>0 failed  ·  0 blocked</v>
      </c>
      <c r="G12" s="11"/>
      <c r="H12" s="11" t="str">
        <f aca="false">"on the Issue Log"</f>
        <v>on the Issue Log</v>
      </c>
      <c r="I12" s="11"/>
    </row>
    <row r="14" customFormat="false" ht="21.75" hidden="false" customHeight="true" outlineLevel="0" collapsed="false">
      <c r="B14" s="12" t="s">
        <v>7</v>
      </c>
      <c r="C14" s="13"/>
      <c r="D14" s="13"/>
      <c r="E14" s="13"/>
      <c r="F14" s="13"/>
      <c r="G14" s="13"/>
      <c r="H14" s="13"/>
      <c r="I14" s="13"/>
    </row>
    <row r="15" customFormat="false" ht="25.5" hidden="false" customHeight="true" outlineLevel="0" collapsed="false">
      <c r="B15" s="14" t="str">
        <f aca="false">IF(COUNTA('Test Cases'!$I$7:$I$22)=0,"",REPT("█",ROUND((COUNTA('Test Cases'!$I$7:$I$22)-COUNTIF('Test Cases'!$I$7:$I$22,"○ Not run"))/COUNTA('Test Cases'!$I$7:$I$22)*60,0))&amp;REPT("░",60-ROUND((COUNTA('Test Cases'!$I$7:$I$22)-COUNTIF('Test Cases'!$I$7:$I$22,"○ Not run"))/COUNTA('Test Cases'!$I$7:$I$22)*60,0)))</f>
        <v>░░░░░░░░░░░░░░░░░░░░░░░░░░░░░░░░░░░░░░░░░░░░░░░░░░░░░░░░░░░░</v>
      </c>
      <c r="C15" s="14"/>
      <c r="D15" s="14"/>
      <c r="E15" s="14"/>
      <c r="F15" s="14"/>
      <c r="G15" s="14"/>
      <c r="H15" s="14"/>
      <c r="I15" s="15" t="str">
        <f aca="false">IF(COUNTA('Test Cases'!$I$7:$I$22)=0,"",TEXT((COUNTA('Test Cases'!$I$7:$I$22)-COUNTIF('Test Cases'!$I$7:$I$22,"○ Not run"))/COUNTA('Test Cases'!$I$7:$I$22),"0%")&amp;" run")</f>
        <v>0% run</v>
      </c>
    </row>
    <row r="16" customFormat="false" ht="15" hidden="false" customHeight="false" outlineLevel="0" collapsed="false">
      <c r="B16" s="16" t="str">
        <f aca="false">"✓ "&amp;COUNTIF('Test Cases'!$I$7:$I$22,"✓ Pass")&amp;" passed     ✗ "&amp;COUNTIF('Test Cases'!$I$7:$I$22,"✗ Fail")&amp;" failed     ⚠ "&amp;COUNTIF('Test Cases'!$I$7:$I$22,"⚠ Blocked")&amp;" blocked     ○ "&amp;COUNTIF('Test Cases'!$I$7:$I$22,"○ Not run")&amp;" not run"</f>
        <v>✓ 0 passed     ✗ 0 failed     ⚠ 0 blocked     ○ 16 not run</v>
      </c>
      <c r="C16" s="16"/>
      <c r="D16" s="16"/>
      <c r="E16" s="16"/>
      <c r="F16" s="16"/>
      <c r="G16" s="16"/>
      <c r="H16" s="16"/>
      <c r="I16" s="16"/>
    </row>
    <row r="18" customFormat="false" ht="21.75" hidden="false" customHeight="true" outlineLevel="0" collapsed="false">
      <c r="B18" s="12" t="s">
        <v>8</v>
      </c>
      <c r="C18" s="13"/>
      <c r="D18" s="13"/>
      <c r="E18" s="13"/>
      <c r="F18" s="13"/>
      <c r="G18" s="13"/>
      <c r="H18" s="13"/>
      <c r="I18" s="13"/>
    </row>
    <row r="19" customFormat="false" ht="6" hidden="false" customHeight="true" outlineLevel="0" collapsed="false"/>
    <row r="20" customFormat="false" ht="19.5" hidden="false" customHeight="true" outlineLevel="0" collapsed="false">
      <c r="B20" s="17" t="s">
        <v>9</v>
      </c>
      <c r="C20" s="17"/>
      <c r="D20" s="18" t="s">
        <v>10</v>
      </c>
      <c r="E20" s="18"/>
      <c r="F20" s="18"/>
      <c r="G20" s="18"/>
      <c r="H20" s="18"/>
      <c r="I20" s="18"/>
    </row>
    <row r="21" customFormat="false" ht="19.5" hidden="false" customHeight="true" outlineLevel="0" collapsed="false">
      <c r="B21" s="17" t="s">
        <v>11</v>
      </c>
      <c r="C21" s="17"/>
      <c r="D21" s="18" t="s">
        <v>12</v>
      </c>
      <c r="E21" s="18"/>
      <c r="F21" s="18"/>
      <c r="G21" s="18"/>
      <c r="H21" s="18"/>
      <c r="I21" s="18"/>
    </row>
    <row r="22" customFormat="false" ht="19.5" hidden="false" customHeight="true" outlineLevel="0" collapsed="false">
      <c r="B22" s="17" t="s">
        <v>13</v>
      </c>
      <c r="C22" s="17"/>
      <c r="D22" s="18" t="s">
        <v>14</v>
      </c>
      <c r="E22" s="18"/>
      <c r="F22" s="18"/>
      <c r="G22" s="18"/>
      <c r="H22" s="18"/>
      <c r="I22" s="18"/>
    </row>
    <row r="23" customFormat="false" ht="19.5" hidden="false" customHeight="true" outlineLevel="0" collapsed="false">
      <c r="B23" s="17" t="s">
        <v>15</v>
      </c>
      <c r="C23" s="17"/>
      <c r="D23" s="18" t="s">
        <v>16</v>
      </c>
      <c r="E23" s="18"/>
      <c r="F23" s="18"/>
      <c r="G23" s="18"/>
      <c r="H23" s="18"/>
      <c r="I23" s="18"/>
    </row>
    <row r="24" customFormat="false" ht="34.5" hidden="false" customHeight="true" outlineLevel="0" collapsed="false">
      <c r="B24" s="17" t="s">
        <v>17</v>
      </c>
      <c r="C24" s="17"/>
      <c r="D24" s="18" t="s">
        <v>18</v>
      </c>
      <c r="E24" s="18"/>
      <c r="F24" s="18"/>
      <c r="G24" s="18"/>
      <c r="H24" s="18"/>
      <c r="I24" s="18"/>
    </row>
    <row r="26" customFormat="false" ht="21.75" hidden="false" customHeight="true" outlineLevel="0" collapsed="false">
      <c r="B26" s="12" t="s">
        <v>19</v>
      </c>
      <c r="C26" s="13"/>
      <c r="D26" s="13"/>
      <c r="E26" s="13"/>
      <c r="F26" s="13"/>
      <c r="G26" s="13"/>
      <c r="H26" s="13"/>
      <c r="I26" s="13"/>
    </row>
    <row r="27" customFormat="false" ht="6" hidden="false" customHeight="true" outlineLevel="0" collapsed="false"/>
    <row r="28" customFormat="false" ht="19.5" hidden="false" customHeight="true" outlineLevel="0" collapsed="false">
      <c r="B28" s="19" t="s">
        <v>20</v>
      </c>
      <c r="C28" s="19"/>
      <c r="D28" s="20" t="s">
        <v>21</v>
      </c>
      <c r="E28" s="20"/>
      <c r="F28" s="20"/>
      <c r="G28" s="20"/>
      <c r="H28" s="20"/>
      <c r="I28" s="20"/>
    </row>
    <row r="29" customFormat="false" ht="19.5" hidden="false" customHeight="true" outlineLevel="0" collapsed="false">
      <c r="B29" s="19" t="s">
        <v>22</v>
      </c>
      <c r="C29" s="19"/>
      <c r="D29" s="20" t="s">
        <v>23</v>
      </c>
      <c r="E29" s="20"/>
      <c r="F29" s="20"/>
      <c r="G29" s="20"/>
      <c r="H29" s="20"/>
      <c r="I29" s="20"/>
    </row>
    <row r="30" customFormat="false" ht="19.5" hidden="false" customHeight="true" outlineLevel="0" collapsed="false">
      <c r="B30" s="19" t="s">
        <v>24</v>
      </c>
      <c r="C30" s="19"/>
      <c r="D30" s="20" t="s">
        <v>25</v>
      </c>
      <c r="E30" s="20"/>
      <c r="F30" s="20"/>
      <c r="G30" s="20"/>
      <c r="H30" s="20"/>
      <c r="I30" s="20"/>
    </row>
    <row r="31" customFormat="false" ht="19.5" hidden="false" customHeight="true" outlineLevel="0" collapsed="false">
      <c r="B31" s="19" t="s">
        <v>26</v>
      </c>
      <c r="C31" s="19"/>
      <c r="D31" s="20" t="s">
        <v>27</v>
      </c>
      <c r="E31" s="20"/>
      <c r="F31" s="20"/>
      <c r="G31" s="20"/>
      <c r="H31" s="20"/>
      <c r="I31" s="20"/>
    </row>
    <row r="32" customFormat="false" ht="19.5" hidden="false" customHeight="true" outlineLevel="0" collapsed="false">
      <c r="B32" s="19" t="s">
        <v>28</v>
      </c>
      <c r="C32" s="19"/>
      <c r="D32" s="20" t="s">
        <v>29</v>
      </c>
      <c r="E32" s="20"/>
      <c r="F32" s="20"/>
      <c r="G32" s="20"/>
      <c r="H32" s="20"/>
      <c r="I32" s="20"/>
    </row>
    <row r="34" customFormat="false" ht="15" hidden="false" customHeight="false" outlineLevel="0" collapsed="false">
      <c r="B34" s="21" t="s">
        <v>30</v>
      </c>
    </row>
  </sheetData>
  <mergeCells count="35">
    <mergeCell ref="B6:I7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5:H15"/>
    <mergeCell ref="B16:I16"/>
    <mergeCell ref="B20:C20"/>
    <mergeCell ref="D20:I20"/>
    <mergeCell ref="B21:C21"/>
    <mergeCell ref="D21:I21"/>
    <mergeCell ref="B22:C22"/>
    <mergeCell ref="D22:I22"/>
    <mergeCell ref="B23:C23"/>
    <mergeCell ref="D23:I23"/>
    <mergeCell ref="B24:C24"/>
    <mergeCell ref="D24:I24"/>
    <mergeCell ref="B28:C28"/>
    <mergeCell ref="D28:I28"/>
    <mergeCell ref="B29:C29"/>
    <mergeCell ref="D29:I29"/>
    <mergeCell ref="B30:C30"/>
    <mergeCell ref="D30:I30"/>
    <mergeCell ref="B31:C31"/>
    <mergeCell ref="D31:I31"/>
    <mergeCell ref="B32:C32"/>
    <mergeCell ref="D32:I32"/>
  </mergeCells>
  <conditionalFormatting sqref="B6:I7">
    <cfRule type="expression" priority="2" aboveAverage="0" equalAverage="0" bottom="0" percent="0" rank="0" text="" dxfId="0">
      <formula>COUNTIF('Pre-UAT Validation'!$E$7:$E$27,"✗ FAIL")&gt;0</formula>
    </cfRule>
    <cfRule type="expression" priority="3" aboveAverage="0" equalAverage="0" bottom="0" percent="0" rank="0" text="" dxfId="1">
      <formula>COUNTIF('Sign-off'!$B$7:$B$11,"✓ Met")=5</formula>
    </cfRule>
  </conditionalFormatting>
  <conditionalFormatting sqref="B11:C11">
    <cfRule type="cellIs" priority="4" operator="greaterThan" aboveAverage="0" equalAverage="0" bottom="0" percent="0" rank="0" text="" dxfId="2">
      <formula>0</formula>
    </cfRule>
    <cfRule type="cellIs" priority="5" operator="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7A0B"/>
    <pageSetUpPr fitToPage="tru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8"/>
    <col collapsed="false" customWidth="true" hidden="false" outlineLevel="0" max="3" min="3" style="1" width="42"/>
    <col collapsed="false" customWidth="true" hidden="false" outlineLevel="0" max="4" min="4" style="1" width="36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52"/>
    <col collapsed="false" customWidth="true" hidden="false" outlineLevel="0" max="8" min="8" style="1" width="30"/>
  </cols>
  <sheetData>
    <row r="1" customFormat="false" ht="33.75" hidden="false" customHeight="true" outlineLevel="0" collapsed="false">
      <c r="A1" s="22" t="s">
        <v>31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3" t="s">
        <v>32</v>
      </c>
      <c r="B2" s="2"/>
      <c r="C2" s="2"/>
      <c r="D2" s="2"/>
      <c r="E2" s="2"/>
      <c r="F2" s="2"/>
      <c r="G2" s="2"/>
      <c r="H2" s="2"/>
    </row>
    <row r="3" customFormat="false" ht="3.75" hidden="false" customHeight="tru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false" outlineLevel="0" collapsed="false">
      <c r="A4" s="24" t="s">
        <v>33</v>
      </c>
    </row>
    <row r="6" customFormat="false" ht="25.5" hidden="false" customHeight="true" outlineLevel="0" collapsed="false">
      <c r="A6" s="25" t="s">
        <v>34</v>
      </c>
      <c r="B6" s="25" t="s">
        <v>35</v>
      </c>
      <c r="C6" s="25" t="s">
        <v>36</v>
      </c>
      <c r="D6" s="25" t="s">
        <v>37</v>
      </c>
      <c r="E6" s="25" t="s">
        <v>38</v>
      </c>
      <c r="F6" s="25" t="s">
        <v>39</v>
      </c>
      <c r="G6" s="25" t="s">
        <v>40</v>
      </c>
      <c r="H6" s="25" t="s">
        <v>41</v>
      </c>
    </row>
    <row r="7" customFormat="false" ht="33.75" hidden="false" customHeight="true" outlineLevel="0" collapsed="false">
      <c r="A7" s="26" t="s">
        <v>42</v>
      </c>
      <c r="B7" s="27" t="s">
        <v>43</v>
      </c>
      <c r="C7" s="27" t="s">
        <v>44</v>
      </c>
      <c r="D7" s="27" t="s">
        <v>45</v>
      </c>
      <c r="E7" s="26" t="s">
        <v>46</v>
      </c>
      <c r="F7" s="26" t="s">
        <v>47</v>
      </c>
      <c r="G7" s="27" t="s">
        <v>48</v>
      </c>
      <c r="H7" s="28"/>
    </row>
    <row r="8" customFormat="false" ht="33.75" hidden="false" customHeight="true" outlineLevel="0" collapsed="false">
      <c r="A8" s="29" t="s">
        <v>49</v>
      </c>
      <c r="B8" s="30" t="s">
        <v>50</v>
      </c>
      <c r="C8" s="30" t="s">
        <v>51</v>
      </c>
      <c r="D8" s="30" t="s">
        <v>52</v>
      </c>
      <c r="E8" s="29" t="s">
        <v>53</v>
      </c>
      <c r="F8" s="29" t="s">
        <v>54</v>
      </c>
      <c r="G8" s="30" t="s">
        <v>55</v>
      </c>
      <c r="H8" s="28"/>
    </row>
    <row r="9" customFormat="false" ht="20.25" hidden="false" customHeight="true" outlineLevel="0" collapsed="false">
      <c r="A9" s="26" t="s">
        <v>56</v>
      </c>
      <c r="B9" s="27" t="s">
        <v>57</v>
      </c>
      <c r="C9" s="27" t="s">
        <v>58</v>
      </c>
      <c r="D9" s="27" t="s">
        <v>59</v>
      </c>
      <c r="E9" s="26" t="s">
        <v>60</v>
      </c>
      <c r="F9" s="26" t="s">
        <v>61</v>
      </c>
      <c r="G9" s="27" t="s">
        <v>61</v>
      </c>
      <c r="H9" s="28"/>
    </row>
    <row r="10" customFormat="false" ht="33.75" hidden="false" customHeight="true" outlineLevel="0" collapsed="false">
      <c r="A10" s="29" t="s">
        <v>62</v>
      </c>
      <c r="B10" s="30" t="s">
        <v>63</v>
      </c>
      <c r="C10" s="30" t="s">
        <v>64</v>
      </c>
      <c r="D10" s="30" t="s">
        <v>65</v>
      </c>
      <c r="E10" s="29" t="s">
        <v>60</v>
      </c>
      <c r="F10" s="29" t="s">
        <v>61</v>
      </c>
      <c r="G10" s="30" t="s">
        <v>61</v>
      </c>
      <c r="H10" s="28"/>
    </row>
    <row r="11" customFormat="false" ht="20.25" hidden="false" customHeight="true" outlineLevel="0" collapsed="false">
      <c r="A11" s="26" t="s">
        <v>66</v>
      </c>
      <c r="B11" s="27" t="s">
        <v>50</v>
      </c>
      <c r="C11" s="27" t="s">
        <v>67</v>
      </c>
      <c r="D11" s="27" t="s">
        <v>67</v>
      </c>
      <c r="E11" s="26" t="s">
        <v>60</v>
      </c>
      <c r="F11" s="26" t="s">
        <v>61</v>
      </c>
      <c r="G11" s="27" t="s">
        <v>61</v>
      </c>
      <c r="H11" s="28"/>
    </row>
    <row r="12" customFormat="false" ht="20.25" hidden="false" customHeight="true" outlineLevel="0" collapsed="false">
      <c r="A12" s="29" t="s">
        <v>68</v>
      </c>
      <c r="B12" s="30" t="s">
        <v>50</v>
      </c>
      <c r="C12" s="30" t="s">
        <v>69</v>
      </c>
      <c r="D12" s="30" t="s">
        <v>69</v>
      </c>
      <c r="E12" s="29" t="s">
        <v>60</v>
      </c>
      <c r="F12" s="29" t="s">
        <v>61</v>
      </c>
      <c r="G12" s="30" t="s">
        <v>61</v>
      </c>
      <c r="H12" s="28"/>
    </row>
    <row r="13" customFormat="false" ht="20.25" hidden="false" customHeight="true" outlineLevel="0" collapsed="false">
      <c r="A13" s="26" t="s">
        <v>70</v>
      </c>
      <c r="B13" s="27" t="s">
        <v>50</v>
      </c>
      <c r="C13" s="27" t="s">
        <v>71</v>
      </c>
      <c r="D13" s="27" t="s">
        <v>71</v>
      </c>
      <c r="E13" s="26" t="s">
        <v>60</v>
      </c>
      <c r="F13" s="26" t="s">
        <v>61</v>
      </c>
      <c r="G13" s="27" t="s">
        <v>61</v>
      </c>
      <c r="H13" s="28"/>
    </row>
    <row r="14" customFormat="false" ht="20.25" hidden="false" customHeight="true" outlineLevel="0" collapsed="false">
      <c r="A14" s="29" t="s">
        <v>72</v>
      </c>
      <c r="B14" s="30" t="s">
        <v>50</v>
      </c>
      <c r="C14" s="30" t="s">
        <v>73</v>
      </c>
      <c r="D14" s="30" t="s">
        <v>73</v>
      </c>
      <c r="E14" s="29" t="s">
        <v>60</v>
      </c>
      <c r="F14" s="29" t="s">
        <v>61</v>
      </c>
      <c r="G14" s="30" t="s">
        <v>61</v>
      </c>
      <c r="H14" s="28"/>
    </row>
    <row r="15" customFormat="false" ht="20.25" hidden="false" customHeight="true" outlineLevel="0" collapsed="false">
      <c r="A15" s="26" t="s">
        <v>74</v>
      </c>
      <c r="B15" s="27" t="s">
        <v>50</v>
      </c>
      <c r="C15" s="27" t="s">
        <v>75</v>
      </c>
      <c r="D15" s="27" t="s">
        <v>75</v>
      </c>
      <c r="E15" s="26" t="s">
        <v>60</v>
      </c>
      <c r="F15" s="26" t="s">
        <v>61</v>
      </c>
      <c r="G15" s="27" t="s">
        <v>61</v>
      </c>
      <c r="H15" s="28"/>
    </row>
    <row r="16" customFormat="false" ht="20.25" hidden="false" customHeight="true" outlineLevel="0" collapsed="false">
      <c r="A16" s="29" t="s">
        <v>76</v>
      </c>
      <c r="B16" s="30" t="s">
        <v>50</v>
      </c>
      <c r="C16" s="30" t="s">
        <v>77</v>
      </c>
      <c r="D16" s="30" t="s">
        <v>77</v>
      </c>
      <c r="E16" s="29" t="s">
        <v>60</v>
      </c>
      <c r="F16" s="29" t="s">
        <v>61</v>
      </c>
      <c r="G16" s="30" t="s">
        <v>61</v>
      </c>
      <c r="H16" s="28"/>
    </row>
    <row r="17" customFormat="false" ht="20.25" hidden="false" customHeight="true" outlineLevel="0" collapsed="false">
      <c r="A17" s="26" t="s">
        <v>78</v>
      </c>
      <c r="B17" s="27" t="s">
        <v>50</v>
      </c>
      <c r="C17" s="27" t="s">
        <v>79</v>
      </c>
      <c r="D17" s="27" t="s">
        <v>79</v>
      </c>
      <c r="E17" s="26" t="s">
        <v>60</v>
      </c>
      <c r="F17" s="26" t="s">
        <v>61</v>
      </c>
      <c r="G17" s="27" t="s">
        <v>61</v>
      </c>
      <c r="H17" s="28"/>
    </row>
    <row r="18" customFormat="false" ht="20.25" hidden="false" customHeight="true" outlineLevel="0" collapsed="false">
      <c r="A18" s="29" t="s">
        <v>80</v>
      </c>
      <c r="B18" s="30" t="s">
        <v>50</v>
      </c>
      <c r="C18" s="30" t="s">
        <v>81</v>
      </c>
      <c r="D18" s="30" t="s">
        <v>81</v>
      </c>
      <c r="E18" s="29" t="s">
        <v>60</v>
      </c>
      <c r="F18" s="29" t="s">
        <v>61</v>
      </c>
      <c r="G18" s="30" t="s">
        <v>61</v>
      </c>
      <c r="H18" s="28"/>
    </row>
    <row r="19" customFormat="false" ht="20.25" hidden="false" customHeight="true" outlineLevel="0" collapsed="false">
      <c r="A19" s="26" t="s">
        <v>82</v>
      </c>
      <c r="B19" s="27" t="s">
        <v>50</v>
      </c>
      <c r="C19" s="27" t="s">
        <v>83</v>
      </c>
      <c r="D19" s="27" t="s">
        <v>83</v>
      </c>
      <c r="E19" s="26" t="s">
        <v>60</v>
      </c>
      <c r="F19" s="26" t="s">
        <v>61</v>
      </c>
      <c r="G19" s="27" t="s">
        <v>61</v>
      </c>
      <c r="H19" s="28"/>
    </row>
    <row r="20" customFormat="false" ht="20.25" hidden="false" customHeight="true" outlineLevel="0" collapsed="false">
      <c r="A20" s="29" t="s">
        <v>84</v>
      </c>
      <c r="B20" s="30" t="s">
        <v>50</v>
      </c>
      <c r="C20" s="30" t="s">
        <v>85</v>
      </c>
      <c r="D20" s="30" t="s">
        <v>85</v>
      </c>
      <c r="E20" s="29" t="s">
        <v>60</v>
      </c>
      <c r="F20" s="29" t="s">
        <v>61</v>
      </c>
      <c r="G20" s="30" t="s">
        <v>61</v>
      </c>
      <c r="H20" s="28"/>
    </row>
    <row r="21" customFormat="false" ht="20.25" hidden="false" customHeight="true" outlineLevel="0" collapsed="false">
      <c r="A21" s="26" t="s">
        <v>86</v>
      </c>
      <c r="B21" s="27" t="s">
        <v>50</v>
      </c>
      <c r="C21" s="27" t="s">
        <v>87</v>
      </c>
      <c r="D21" s="27" t="s">
        <v>87</v>
      </c>
      <c r="E21" s="26" t="s">
        <v>60</v>
      </c>
      <c r="F21" s="26" t="s">
        <v>61</v>
      </c>
      <c r="G21" s="27" t="s">
        <v>61</v>
      </c>
      <c r="H21" s="28"/>
    </row>
    <row r="22" customFormat="false" ht="33.75" hidden="false" customHeight="true" outlineLevel="0" collapsed="false">
      <c r="A22" s="29" t="s">
        <v>88</v>
      </c>
      <c r="B22" s="30" t="s">
        <v>89</v>
      </c>
      <c r="C22" s="30" t="s">
        <v>90</v>
      </c>
      <c r="D22" s="30" t="s">
        <v>90</v>
      </c>
      <c r="E22" s="29" t="s">
        <v>60</v>
      </c>
      <c r="F22" s="29" t="s">
        <v>61</v>
      </c>
      <c r="G22" s="30" t="s">
        <v>61</v>
      </c>
      <c r="H22" s="28"/>
    </row>
    <row r="23" customFormat="false" ht="20.25" hidden="false" customHeight="true" outlineLevel="0" collapsed="false">
      <c r="A23" s="26" t="s">
        <v>91</v>
      </c>
      <c r="B23" s="27" t="s">
        <v>92</v>
      </c>
      <c r="C23" s="27" t="s">
        <v>93</v>
      </c>
      <c r="D23" s="27" t="s">
        <v>93</v>
      </c>
      <c r="E23" s="26" t="s">
        <v>60</v>
      </c>
      <c r="F23" s="26" t="s">
        <v>61</v>
      </c>
      <c r="G23" s="27" t="s">
        <v>61</v>
      </c>
      <c r="H23" s="28"/>
    </row>
    <row r="24" customFormat="false" ht="20.25" hidden="false" customHeight="true" outlineLevel="0" collapsed="false">
      <c r="A24" s="29" t="s">
        <v>94</v>
      </c>
      <c r="B24" s="30" t="s">
        <v>92</v>
      </c>
      <c r="C24" s="30" t="s">
        <v>95</v>
      </c>
      <c r="D24" s="30" t="s">
        <v>95</v>
      </c>
      <c r="E24" s="29" t="s">
        <v>60</v>
      </c>
      <c r="F24" s="29" t="s">
        <v>61</v>
      </c>
      <c r="G24" s="30" t="s">
        <v>61</v>
      </c>
      <c r="H24" s="28"/>
    </row>
    <row r="25" customFormat="false" ht="20.25" hidden="false" customHeight="true" outlineLevel="0" collapsed="false">
      <c r="A25" s="26" t="s">
        <v>96</v>
      </c>
      <c r="B25" s="27" t="s">
        <v>92</v>
      </c>
      <c r="C25" s="27" t="s">
        <v>97</v>
      </c>
      <c r="D25" s="27" t="s">
        <v>97</v>
      </c>
      <c r="E25" s="26" t="s">
        <v>60</v>
      </c>
      <c r="F25" s="26" t="s">
        <v>61</v>
      </c>
      <c r="G25" s="27" t="s">
        <v>61</v>
      </c>
      <c r="H25" s="28"/>
    </row>
    <row r="26" customFormat="false" ht="20.25" hidden="false" customHeight="true" outlineLevel="0" collapsed="false">
      <c r="A26" s="29" t="s">
        <v>98</v>
      </c>
      <c r="B26" s="30" t="s">
        <v>92</v>
      </c>
      <c r="C26" s="30" t="s">
        <v>99</v>
      </c>
      <c r="D26" s="30" t="s">
        <v>99</v>
      </c>
      <c r="E26" s="29" t="s">
        <v>60</v>
      </c>
      <c r="F26" s="29" t="s">
        <v>61</v>
      </c>
      <c r="G26" s="30" t="s">
        <v>61</v>
      </c>
      <c r="H26" s="28"/>
    </row>
    <row r="27" customFormat="false" ht="20.25" hidden="false" customHeight="true" outlineLevel="0" collapsed="false">
      <c r="A27" s="26" t="s">
        <v>100</v>
      </c>
      <c r="B27" s="27" t="s">
        <v>101</v>
      </c>
      <c r="C27" s="27" t="s">
        <v>102</v>
      </c>
      <c r="D27" s="27" t="s">
        <v>103</v>
      </c>
      <c r="E27" s="26" t="s">
        <v>60</v>
      </c>
      <c r="F27" s="26" t="s">
        <v>61</v>
      </c>
      <c r="G27" s="27" t="s">
        <v>61</v>
      </c>
      <c r="H27" s="28"/>
    </row>
  </sheetData>
  <conditionalFormatting sqref="E7:E27">
    <cfRule type="cellIs" priority="2" operator="equal" aboveAverage="0" equalAverage="0" bottom="0" percent="0" rank="0" text="" dxfId="4">
      <formula>"✓ PASS"</formula>
    </cfRule>
    <cfRule type="cellIs" priority="3" operator="equal" aboveAverage="0" equalAverage="0" bottom="0" percent="0" rank="0" text="" dxfId="5">
      <formula>"✗ FAIL"</formula>
    </cfRule>
    <cfRule type="cellIs" priority="4" operator="equal" aboveAverage="0" equalAverage="0" bottom="0" percent="0" rank="0" text="" dxfId="6">
      <formula>"⚠ WARN"</formula>
    </cfRule>
    <cfRule type="cellIs" priority="5" operator="equal" aboveAverage="0" equalAverage="0" bottom="0" percent="0" rank="0" text="" dxfId="7">
      <formula>"ℹ INFO"</formula>
    </cfRule>
    <cfRule type="cellIs" priority="6" operator="equal" aboveAverage="0" equalAverage="0" bottom="0" percent="0" rank="0" text="" dxfId="4">
      <formula>"✓ Pass"</formula>
    </cfRule>
    <cfRule type="cellIs" priority="7" operator="equal" aboveAverage="0" equalAverage="0" bottom="0" percent="0" rank="0" text="" dxfId="5">
      <formula>"✗ Fail"</formula>
    </cfRule>
    <cfRule type="cellIs" priority="8" operator="equal" aboveAverage="0" equalAverage="0" bottom="0" percent="0" rank="0" text="" dxfId="6">
      <formula>"⚠ Blocked"</formula>
    </cfRule>
    <cfRule type="cellIs" priority="9" operator="equal" aboveAverage="0" equalAverage="0" bottom="0" percent="0" rank="0" text="" dxfId="8">
      <formula>"○ Not run"</formula>
    </cfRule>
    <cfRule type="cellIs" priority="10" operator="equal" aboveAverage="0" equalAverage="0" bottom="0" percent="0" rank="0" text="" dxfId="4">
      <formula>"✓ Met"</formula>
    </cfRule>
    <cfRule type="cellIs" priority="11" operator="equal" aboveAverage="0" equalAverage="0" bottom="0" percent="0" rank="0" text="" dxfId="5">
      <formula>"✗ Not met"</formula>
    </cfRule>
    <cfRule type="cellIs" priority="12" operator="equal" aboveAverage="0" equalAverage="0" bottom="0" percent="0" rank="0" text="" dxfId="4">
      <formula>"✓ Verified"</formula>
    </cfRule>
    <cfRule type="cellIs" priority="13" operator="equal" aboveAverage="0" equalAverage="0" bottom="0" percent="0" rank="0" text="" dxfId="5">
      <formula>"✗ Mismatch"</formula>
    </cfRule>
  </conditionalFormatting>
  <conditionalFormatting sqref="F7:F27">
    <cfRule type="cellIs" priority="14" operator="equal" aboveAverage="0" equalAverage="0" bottom="0" percent="0" rank="0" text="" dxfId="9">
      <formula>"High"</formula>
    </cfRule>
  </conditionalFormatting>
  <dataValidations count="1">
    <dataValidation allowBlank="true" errorStyle="stop" operator="between" showDropDown="false" showErrorMessage="false" showInputMessage="false" sqref="E7:E27" type="list">
      <formula1>"✓ PASS,✗ FAIL,⚠ WARN,ℹ 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8"/>
    <col collapsed="false" customWidth="true" hidden="false" outlineLevel="0" max="8" min="7" style="1" width="14"/>
    <col collapsed="false" customWidth="true" hidden="false" outlineLevel="0" max="9" min="9" style="1" width="28"/>
  </cols>
  <sheetData>
    <row r="1" customFormat="false" ht="33.75" hidden="false" customHeight="true" outlineLevel="0" collapsed="false">
      <c r="A1" s="22" t="s">
        <v>104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23" t="s">
        <v>105</v>
      </c>
      <c r="B2" s="2"/>
      <c r="C2" s="2"/>
      <c r="D2" s="2"/>
      <c r="E2" s="2"/>
      <c r="F2" s="2"/>
      <c r="G2" s="2"/>
      <c r="H2" s="2"/>
      <c r="I2" s="2"/>
    </row>
    <row r="3" customFormat="false" ht="3.7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</row>
    <row r="4" customFormat="false" ht="15" hidden="false" customHeight="false" outlineLevel="0" collapsed="false">
      <c r="A4" s="24" t="s">
        <v>106</v>
      </c>
    </row>
    <row r="6" customFormat="false" ht="25.5" hidden="false" customHeight="true" outlineLevel="0" collapsed="false">
      <c r="A6" s="25" t="s">
        <v>107</v>
      </c>
      <c r="B6" s="25" t="s">
        <v>108</v>
      </c>
      <c r="C6" s="25" t="s">
        <v>109</v>
      </c>
      <c r="D6" s="25" t="s">
        <v>110</v>
      </c>
      <c r="E6" s="25" t="s">
        <v>111</v>
      </c>
      <c r="F6" s="25" t="s">
        <v>112</v>
      </c>
      <c r="G6" s="25" t="s">
        <v>113</v>
      </c>
      <c r="H6" s="25" t="s">
        <v>114</v>
      </c>
      <c r="I6" s="25" t="s">
        <v>115</v>
      </c>
    </row>
    <row r="7" customFormat="false" ht="20.25" hidden="false" customHeight="true" outlineLevel="0" collapsed="false">
      <c r="A7" s="26" t="n">
        <v>1</v>
      </c>
      <c r="B7" s="27" t="s">
        <v>116</v>
      </c>
      <c r="C7" s="27" t="s">
        <v>16</v>
      </c>
      <c r="D7" s="27" t="s">
        <v>116</v>
      </c>
      <c r="E7" s="27" t="s">
        <v>61</v>
      </c>
      <c r="F7" s="27" t="s">
        <v>117</v>
      </c>
      <c r="G7" s="26"/>
      <c r="H7" s="28"/>
      <c r="I7" s="28"/>
    </row>
    <row r="8" customFormat="false" ht="33.75" hidden="false" customHeight="true" outlineLevel="0" collapsed="false">
      <c r="A8" s="29" t="n">
        <v>2</v>
      </c>
      <c r="B8" s="30" t="s">
        <v>118</v>
      </c>
      <c r="C8" s="30" t="s">
        <v>119</v>
      </c>
      <c r="D8" s="30" t="s">
        <v>118</v>
      </c>
      <c r="E8" s="30" t="s">
        <v>120</v>
      </c>
      <c r="F8" s="30" t="s">
        <v>121</v>
      </c>
      <c r="G8" s="29"/>
      <c r="H8" s="28"/>
      <c r="I8" s="28"/>
    </row>
    <row r="9" customFormat="false" ht="20.25" hidden="false" customHeight="true" outlineLevel="0" collapsed="false">
      <c r="A9" s="26" t="n">
        <v>3</v>
      </c>
      <c r="B9" s="27" t="s">
        <v>122</v>
      </c>
      <c r="C9" s="27" t="s">
        <v>123</v>
      </c>
      <c r="D9" s="27" t="s">
        <v>122</v>
      </c>
      <c r="E9" s="27" t="s">
        <v>61</v>
      </c>
      <c r="F9" s="27" t="s">
        <v>124</v>
      </c>
      <c r="G9" s="26"/>
      <c r="H9" s="28"/>
      <c r="I9" s="28"/>
    </row>
    <row r="10" customFormat="false" ht="20.25" hidden="false" customHeight="true" outlineLevel="0" collapsed="false">
      <c r="A10" s="29" t="n">
        <v>4</v>
      </c>
      <c r="B10" s="30" t="s">
        <v>125</v>
      </c>
      <c r="C10" s="30" t="s">
        <v>126</v>
      </c>
      <c r="D10" s="30" t="s">
        <v>125</v>
      </c>
      <c r="E10" s="30" t="s">
        <v>61</v>
      </c>
      <c r="F10" s="30" t="s">
        <v>127</v>
      </c>
      <c r="G10" s="29"/>
      <c r="H10" s="28"/>
      <c r="I10" s="28"/>
    </row>
    <row r="11" customFormat="false" ht="20.25" hidden="false" customHeight="true" outlineLevel="0" collapsed="false">
      <c r="A11" s="26" t="n">
        <v>5</v>
      </c>
      <c r="B11" s="27" t="s">
        <v>128</v>
      </c>
      <c r="C11" s="27" t="s">
        <v>129</v>
      </c>
      <c r="D11" s="27" t="s">
        <v>128</v>
      </c>
      <c r="E11" s="27" t="s">
        <v>130</v>
      </c>
      <c r="F11" s="27" t="s">
        <v>131</v>
      </c>
      <c r="G11" s="26"/>
      <c r="H11" s="28"/>
      <c r="I11" s="28"/>
    </row>
    <row r="12" customFormat="false" ht="33.75" hidden="false" customHeight="true" outlineLevel="0" collapsed="false">
      <c r="A12" s="29" t="n">
        <v>6</v>
      </c>
      <c r="B12" s="30" t="s">
        <v>132</v>
      </c>
      <c r="C12" s="30" t="s">
        <v>133</v>
      </c>
      <c r="D12" s="30" t="s">
        <v>132</v>
      </c>
      <c r="E12" s="30" t="s">
        <v>134</v>
      </c>
      <c r="F12" s="30" t="s">
        <v>135</v>
      </c>
      <c r="G12" s="29"/>
      <c r="H12" s="28"/>
      <c r="I12" s="28"/>
    </row>
    <row r="13" customFormat="false" ht="20.25" hidden="false" customHeight="true" outlineLevel="0" collapsed="false">
      <c r="A13" s="26" t="n">
        <v>7</v>
      </c>
      <c r="B13" s="27" t="s">
        <v>136</v>
      </c>
      <c r="C13" s="27" t="s">
        <v>137</v>
      </c>
      <c r="D13" s="27" t="s">
        <v>136</v>
      </c>
      <c r="E13" s="27" t="s">
        <v>61</v>
      </c>
      <c r="F13" s="27" t="s">
        <v>138</v>
      </c>
      <c r="G13" s="26"/>
      <c r="H13" s="28"/>
      <c r="I13" s="28"/>
    </row>
    <row r="14" customFormat="false" ht="20.25" hidden="false" customHeight="true" outlineLevel="0" collapsed="false">
      <c r="A14" s="29" t="n">
        <v>8</v>
      </c>
      <c r="B14" s="30" t="s">
        <v>139</v>
      </c>
      <c r="C14" s="30" t="s">
        <v>140</v>
      </c>
      <c r="D14" s="30" t="s">
        <v>139</v>
      </c>
      <c r="E14" s="30" t="s">
        <v>61</v>
      </c>
      <c r="F14" s="30" t="s">
        <v>141</v>
      </c>
      <c r="G14" s="29"/>
      <c r="H14" s="28"/>
      <c r="I14" s="28"/>
    </row>
    <row r="15" customFormat="false" ht="20.25" hidden="false" customHeight="true" outlineLevel="0" collapsed="false">
      <c r="A15" s="26" t="n">
        <v>9</v>
      </c>
      <c r="B15" s="27" t="s">
        <v>142</v>
      </c>
      <c r="C15" s="27" t="s">
        <v>143</v>
      </c>
      <c r="D15" s="27" t="s">
        <v>142</v>
      </c>
      <c r="E15" s="27" t="s">
        <v>61</v>
      </c>
      <c r="F15" s="27" t="s">
        <v>144</v>
      </c>
      <c r="G15" s="26"/>
      <c r="H15" s="28"/>
      <c r="I15" s="28"/>
    </row>
    <row r="16" customFormat="false" ht="20.25" hidden="false" customHeight="true" outlineLevel="0" collapsed="false">
      <c r="A16" s="29" t="n">
        <v>10</v>
      </c>
      <c r="B16" s="30" t="s">
        <v>145</v>
      </c>
      <c r="C16" s="30" t="s">
        <v>146</v>
      </c>
      <c r="D16" s="30" t="s">
        <v>145</v>
      </c>
      <c r="E16" s="30" t="s">
        <v>61</v>
      </c>
      <c r="F16" s="30" t="s">
        <v>147</v>
      </c>
      <c r="G16" s="29"/>
      <c r="H16" s="28"/>
      <c r="I16" s="28"/>
    </row>
    <row r="17" customFormat="false" ht="20.25" hidden="false" customHeight="true" outlineLevel="0" collapsed="false">
      <c r="A17" s="26" t="n">
        <v>11</v>
      </c>
      <c r="B17" s="27" t="s">
        <v>148</v>
      </c>
      <c r="C17" s="27" t="s">
        <v>149</v>
      </c>
      <c r="D17" s="27" t="s">
        <v>148</v>
      </c>
      <c r="E17" s="27" t="s">
        <v>61</v>
      </c>
      <c r="F17" s="27" t="s">
        <v>150</v>
      </c>
      <c r="G17" s="26"/>
      <c r="H17" s="28"/>
      <c r="I17" s="28"/>
    </row>
    <row r="18" customFormat="false" ht="20.25" hidden="false" customHeight="true" outlineLevel="0" collapsed="false">
      <c r="A18" s="29" t="n">
        <v>12</v>
      </c>
      <c r="B18" s="30" t="s">
        <v>151</v>
      </c>
      <c r="C18" s="30" t="s">
        <v>152</v>
      </c>
      <c r="D18" s="30" t="s">
        <v>153</v>
      </c>
      <c r="E18" s="30" t="s">
        <v>61</v>
      </c>
      <c r="F18" s="30"/>
      <c r="G18" s="31" t="s">
        <v>154</v>
      </c>
      <c r="H18" s="28"/>
      <c r="I18" s="28"/>
    </row>
  </sheetData>
  <conditionalFormatting sqref="H7:H18">
    <cfRule type="cellIs" priority="2" operator="equal" aboveAverage="0" equalAverage="0" bottom="0" percent="0" rank="0" text="" dxfId="4">
      <formula>"✓ PASS"</formula>
    </cfRule>
    <cfRule type="cellIs" priority="3" operator="equal" aboveAverage="0" equalAverage="0" bottom="0" percent="0" rank="0" text="" dxfId="5">
      <formula>"✗ FAIL"</formula>
    </cfRule>
    <cfRule type="cellIs" priority="4" operator="equal" aboveAverage="0" equalAverage="0" bottom="0" percent="0" rank="0" text="" dxfId="6">
      <formula>"⚠ WARN"</formula>
    </cfRule>
    <cfRule type="cellIs" priority="5" operator="equal" aboveAverage="0" equalAverage="0" bottom="0" percent="0" rank="0" text="" dxfId="7">
      <formula>"ℹ INFO"</formula>
    </cfRule>
    <cfRule type="cellIs" priority="6" operator="equal" aboveAverage="0" equalAverage="0" bottom="0" percent="0" rank="0" text="" dxfId="4">
      <formula>"✓ Pass"</formula>
    </cfRule>
    <cfRule type="cellIs" priority="7" operator="equal" aboveAverage="0" equalAverage="0" bottom="0" percent="0" rank="0" text="" dxfId="5">
      <formula>"✗ Fail"</formula>
    </cfRule>
    <cfRule type="cellIs" priority="8" operator="equal" aboveAverage="0" equalAverage="0" bottom="0" percent="0" rank="0" text="" dxfId="6">
      <formula>"⚠ Blocked"</formula>
    </cfRule>
    <cfRule type="cellIs" priority="9" operator="equal" aboveAverage="0" equalAverage="0" bottom="0" percent="0" rank="0" text="" dxfId="8">
      <formula>"○ Not run"</formula>
    </cfRule>
    <cfRule type="cellIs" priority="10" operator="equal" aboveAverage="0" equalAverage="0" bottom="0" percent="0" rank="0" text="" dxfId="4">
      <formula>"✓ Met"</formula>
    </cfRule>
    <cfRule type="cellIs" priority="11" operator="equal" aboveAverage="0" equalAverage="0" bottom="0" percent="0" rank="0" text="" dxfId="5">
      <formula>"✗ Not met"</formula>
    </cfRule>
    <cfRule type="cellIs" priority="12" operator="equal" aboveAverage="0" equalAverage="0" bottom="0" percent="0" rank="0" text="" dxfId="4">
      <formula>"✓ Verified"</formula>
    </cfRule>
    <cfRule type="cellIs" priority="13" operator="equal" aboveAverage="0" equalAverage="0" bottom="0" percent="0" rank="0" text="" dxfId="5">
      <formula>"✗ Mismatch"</formula>
    </cfRule>
  </conditionalFormatting>
  <dataValidations count="1">
    <dataValidation allowBlank="true" errorStyle="stop" operator="between" showDropDown="false" showErrorMessage="false" showInputMessage="false" sqref="H7:H18" type="list">
      <formula1>"✓ Verified,✗ Mismatch,N/A"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A1:M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32"/>
    <col collapsed="false" customWidth="true" hidden="false" outlineLevel="0" max="6" min="6" style="1" width="44"/>
    <col collapsed="false" customWidth="true" hidden="false" outlineLevel="0" max="7" min="7" style="1" width="38"/>
    <col collapsed="false" customWidth="true" hidden="false" outlineLevel="0" max="8" min="8" style="1" width="28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28"/>
  </cols>
  <sheetData>
    <row r="1" customFormat="false" ht="33.75" hidden="false" customHeight="true" outlineLevel="0" collapsed="false">
      <c r="A1" s="22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9.5" hidden="false" customHeight="true" outlineLevel="0" collapsed="false">
      <c r="A2" s="23" t="s">
        <v>156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.7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customFormat="false" ht="15" hidden="false" customHeight="false" outlineLevel="0" collapsed="false">
      <c r="A4" s="24" t="s">
        <v>157</v>
      </c>
    </row>
    <row r="6" customFormat="false" ht="25.5" hidden="false" customHeight="true" outlineLevel="0" collapsed="false">
      <c r="A6" s="25" t="s">
        <v>158</v>
      </c>
      <c r="B6" s="25" t="s">
        <v>159</v>
      </c>
      <c r="C6" s="25" t="s">
        <v>160</v>
      </c>
      <c r="D6" s="25" t="s">
        <v>161</v>
      </c>
      <c r="E6" s="25" t="s">
        <v>162</v>
      </c>
      <c r="F6" s="25" t="s">
        <v>163</v>
      </c>
      <c r="G6" s="25" t="s">
        <v>164</v>
      </c>
      <c r="H6" s="25" t="s">
        <v>165</v>
      </c>
      <c r="I6" s="25" t="s">
        <v>166</v>
      </c>
      <c r="J6" s="25" t="s">
        <v>167</v>
      </c>
      <c r="K6" s="25" t="s">
        <v>168</v>
      </c>
      <c r="L6" s="25" t="s">
        <v>169</v>
      </c>
      <c r="M6" s="25" t="s">
        <v>170</v>
      </c>
    </row>
    <row r="7" customFormat="false" ht="47.25" hidden="false" customHeight="true" outlineLevel="0" collapsed="false">
      <c r="A7" s="26" t="s">
        <v>171</v>
      </c>
      <c r="B7" s="27" t="s">
        <v>172</v>
      </c>
      <c r="C7" s="26" t="s">
        <v>173</v>
      </c>
      <c r="D7" s="26" t="s">
        <v>174</v>
      </c>
      <c r="E7" s="27" t="s">
        <v>175</v>
      </c>
      <c r="F7" s="27" t="s">
        <v>176</v>
      </c>
      <c r="G7" s="27" t="s">
        <v>177</v>
      </c>
      <c r="H7" s="28"/>
      <c r="I7" s="32" t="s">
        <v>178</v>
      </c>
      <c r="J7" s="28"/>
      <c r="K7" s="28"/>
      <c r="L7" s="28"/>
      <c r="M7" s="27"/>
    </row>
    <row r="8" customFormat="false" ht="47.25" hidden="false" customHeight="true" outlineLevel="0" collapsed="false">
      <c r="A8" s="29" t="s">
        <v>179</v>
      </c>
      <c r="B8" s="30" t="s">
        <v>180</v>
      </c>
      <c r="C8" s="29" t="s">
        <v>173</v>
      </c>
      <c r="D8" s="29" t="s">
        <v>181</v>
      </c>
      <c r="E8" s="30" t="s">
        <v>182</v>
      </c>
      <c r="F8" s="30" t="s">
        <v>183</v>
      </c>
      <c r="G8" s="30" t="s">
        <v>184</v>
      </c>
      <c r="H8" s="28"/>
      <c r="I8" s="32" t="s">
        <v>178</v>
      </c>
      <c r="J8" s="28"/>
      <c r="K8" s="28"/>
      <c r="L8" s="28"/>
      <c r="M8" s="30"/>
    </row>
    <row r="9" customFormat="false" ht="60.75" hidden="false" customHeight="true" outlineLevel="0" collapsed="false">
      <c r="A9" s="26" t="s">
        <v>185</v>
      </c>
      <c r="B9" s="27" t="s">
        <v>186</v>
      </c>
      <c r="C9" s="26" t="s">
        <v>173</v>
      </c>
      <c r="D9" s="26" t="s">
        <v>181</v>
      </c>
      <c r="E9" s="27" t="s">
        <v>187</v>
      </c>
      <c r="F9" s="27" t="s">
        <v>188</v>
      </c>
      <c r="G9" s="27" t="s">
        <v>189</v>
      </c>
      <c r="H9" s="28"/>
      <c r="I9" s="32" t="s">
        <v>178</v>
      </c>
      <c r="J9" s="28"/>
      <c r="K9" s="28"/>
      <c r="L9" s="28"/>
      <c r="M9" s="27"/>
    </row>
    <row r="10" customFormat="false" ht="47.25" hidden="false" customHeight="true" outlineLevel="0" collapsed="false">
      <c r="A10" s="29" t="s">
        <v>190</v>
      </c>
      <c r="B10" s="30" t="s">
        <v>191</v>
      </c>
      <c r="C10" s="29" t="s">
        <v>192</v>
      </c>
      <c r="D10" s="29" t="s">
        <v>193</v>
      </c>
      <c r="E10" s="30" t="s">
        <v>194</v>
      </c>
      <c r="F10" s="30" t="s">
        <v>195</v>
      </c>
      <c r="G10" s="30" t="s">
        <v>196</v>
      </c>
      <c r="H10" s="28"/>
      <c r="I10" s="32" t="s">
        <v>178</v>
      </c>
      <c r="J10" s="28"/>
      <c r="K10" s="28"/>
      <c r="L10" s="28"/>
      <c r="M10" s="30"/>
    </row>
    <row r="11" customFormat="false" ht="47.25" hidden="false" customHeight="true" outlineLevel="0" collapsed="false">
      <c r="A11" s="26" t="s">
        <v>197</v>
      </c>
      <c r="B11" s="27" t="s">
        <v>198</v>
      </c>
      <c r="C11" s="26" t="s">
        <v>192</v>
      </c>
      <c r="D11" s="26" t="s">
        <v>199</v>
      </c>
      <c r="E11" s="27" t="s">
        <v>200</v>
      </c>
      <c r="F11" s="27" t="s">
        <v>201</v>
      </c>
      <c r="G11" s="27" t="s">
        <v>202</v>
      </c>
      <c r="H11" s="28"/>
      <c r="I11" s="32" t="s">
        <v>178</v>
      </c>
      <c r="J11" s="28"/>
      <c r="K11" s="28"/>
      <c r="L11" s="28"/>
      <c r="M11" s="27"/>
    </row>
    <row r="12" customFormat="false" ht="60.75" hidden="false" customHeight="true" outlineLevel="0" collapsed="false">
      <c r="A12" s="29" t="s">
        <v>203</v>
      </c>
      <c r="B12" s="30" t="s">
        <v>204</v>
      </c>
      <c r="C12" s="29" t="s">
        <v>192</v>
      </c>
      <c r="D12" s="29" t="s">
        <v>205</v>
      </c>
      <c r="E12" s="30" t="s">
        <v>206</v>
      </c>
      <c r="F12" s="30" t="s">
        <v>207</v>
      </c>
      <c r="G12" s="30" t="s">
        <v>208</v>
      </c>
      <c r="H12" s="28"/>
      <c r="I12" s="32" t="s">
        <v>178</v>
      </c>
      <c r="J12" s="28"/>
      <c r="K12" s="28"/>
      <c r="L12" s="28"/>
      <c r="M12" s="30"/>
    </row>
    <row r="13" customFormat="false" ht="60.75" hidden="false" customHeight="true" outlineLevel="0" collapsed="false">
      <c r="A13" s="26" t="s">
        <v>209</v>
      </c>
      <c r="B13" s="27" t="s">
        <v>210</v>
      </c>
      <c r="C13" s="26" t="s">
        <v>192</v>
      </c>
      <c r="D13" s="26" t="s">
        <v>211</v>
      </c>
      <c r="E13" s="27" t="s">
        <v>212</v>
      </c>
      <c r="F13" s="27" t="s">
        <v>213</v>
      </c>
      <c r="G13" s="27" t="s">
        <v>214</v>
      </c>
      <c r="H13" s="28"/>
      <c r="I13" s="32" t="s">
        <v>178</v>
      </c>
      <c r="J13" s="28"/>
      <c r="K13" s="28"/>
      <c r="L13" s="28"/>
      <c r="M13" s="27"/>
    </row>
    <row r="14" customFormat="false" ht="33.75" hidden="false" customHeight="true" outlineLevel="0" collapsed="false">
      <c r="A14" s="29" t="s">
        <v>215</v>
      </c>
      <c r="B14" s="30" t="s">
        <v>216</v>
      </c>
      <c r="C14" s="29" t="s">
        <v>192</v>
      </c>
      <c r="D14" s="29" t="s">
        <v>211</v>
      </c>
      <c r="E14" s="30" t="s">
        <v>217</v>
      </c>
      <c r="F14" s="30" t="s">
        <v>218</v>
      </c>
      <c r="G14" s="30" t="s">
        <v>219</v>
      </c>
      <c r="H14" s="28"/>
      <c r="I14" s="32" t="s">
        <v>178</v>
      </c>
      <c r="J14" s="28"/>
      <c r="K14" s="28"/>
      <c r="L14" s="28"/>
      <c r="M14" s="30"/>
    </row>
    <row r="15" customFormat="false" ht="47.25" hidden="false" customHeight="true" outlineLevel="0" collapsed="false">
      <c r="A15" s="26" t="s">
        <v>220</v>
      </c>
      <c r="B15" s="27" t="s">
        <v>221</v>
      </c>
      <c r="C15" s="26" t="s">
        <v>192</v>
      </c>
      <c r="D15" s="26" t="s">
        <v>222</v>
      </c>
      <c r="E15" s="27" t="s">
        <v>223</v>
      </c>
      <c r="F15" s="27" t="s">
        <v>224</v>
      </c>
      <c r="G15" s="27" t="s">
        <v>225</v>
      </c>
      <c r="H15" s="28"/>
      <c r="I15" s="32" t="s">
        <v>178</v>
      </c>
      <c r="J15" s="28"/>
      <c r="K15" s="28"/>
      <c r="L15" s="28"/>
      <c r="M15" s="27"/>
    </row>
    <row r="16" customFormat="false" ht="47.25" hidden="false" customHeight="true" outlineLevel="0" collapsed="false">
      <c r="A16" s="29" t="s">
        <v>226</v>
      </c>
      <c r="B16" s="30" t="s">
        <v>227</v>
      </c>
      <c r="C16" s="29" t="s">
        <v>192</v>
      </c>
      <c r="D16" s="29" t="s">
        <v>228</v>
      </c>
      <c r="E16" s="30" t="s">
        <v>229</v>
      </c>
      <c r="F16" s="30" t="s">
        <v>230</v>
      </c>
      <c r="G16" s="30" t="s">
        <v>225</v>
      </c>
      <c r="H16" s="28"/>
      <c r="I16" s="32" t="s">
        <v>178</v>
      </c>
      <c r="J16" s="28"/>
      <c r="K16" s="28"/>
      <c r="L16" s="28"/>
      <c r="M16" s="30"/>
    </row>
    <row r="17" customFormat="false" ht="47.25" hidden="false" customHeight="true" outlineLevel="0" collapsed="false">
      <c r="A17" s="26" t="s">
        <v>231</v>
      </c>
      <c r="B17" s="27" t="s">
        <v>232</v>
      </c>
      <c r="C17" s="26" t="s">
        <v>192</v>
      </c>
      <c r="D17" s="26" t="s">
        <v>233</v>
      </c>
      <c r="E17" s="27" t="s">
        <v>234</v>
      </c>
      <c r="F17" s="27" t="s">
        <v>235</v>
      </c>
      <c r="G17" s="27" t="s">
        <v>236</v>
      </c>
      <c r="H17" s="28"/>
      <c r="I17" s="32" t="s">
        <v>178</v>
      </c>
      <c r="J17" s="28"/>
      <c r="K17" s="28"/>
      <c r="L17" s="28"/>
      <c r="M17" s="27"/>
    </row>
    <row r="18" customFormat="false" ht="33.75" hidden="false" customHeight="true" outlineLevel="0" collapsed="false">
      <c r="A18" s="29" t="s">
        <v>237</v>
      </c>
      <c r="B18" s="30" t="s">
        <v>238</v>
      </c>
      <c r="C18" s="29" t="s">
        <v>192</v>
      </c>
      <c r="D18" s="29" t="s">
        <v>239</v>
      </c>
      <c r="E18" s="30" t="s">
        <v>240</v>
      </c>
      <c r="F18" s="30" t="s">
        <v>241</v>
      </c>
      <c r="G18" s="30" t="s">
        <v>242</v>
      </c>
      <c r="H18" s="28"/>
      <c r="I18" s="32" t="s">
        <v>178</v>
      </c>
      <c r="J18" s="28"/>
      <c r="K18" s="28"/>
      <c r="L18" s="28"/>
      <c r="M18" s="30"/>
    </row>
    <row r="19" customFormat="false" ht="33.75" hidden="false" customHeight="true" outlineLevel="0" collapsed="false">
      <c r="A19" s="26" t="s">
        <v>243</v>
      </c>
      <c r="B19" s="27" t="s">
        <v>244</v>
      </c>
      <c r="C19" s="26" t="s">
        <v>192</v>
      </c>
      <c r="D19" s="26" t="s">
        <v>245</v>
      </c>
      <c r="E19" s="27" t="s">
        <v>246</v>
      </c>
      <c r="F19" s="27" t="s">
        <v>247</v>
      </c>
      <c r="G19" s="27" t="s">
        <v>248</v>
      </c>
      <c r="H19" s="28"/>
      <c r="I19" s="32" t="s">
        <v>178</v>
      </c>
      <c r="J19" s="28"/>
      <c r="K19" s="28"/>
      <c r="L19" s="28"/>
      <c r="M19" s="27"/>
    </row>
    <row r="20" customFormat="false" ht="47.25" hidden="false" customHeight="true" outlineLevel="0" collapsed="false">
      <c r="A20" s="29" t="s">
        <v>249</v>
      </c>
      <c r="B20" s="30" t="s">
        <v>250</v>
      </c>
      <c r="C20" s="29" t="s">
        <v>192</v>
      </c>
      <c r="D20" s="29" t="s">
        <v>251</v>
      </c>
      <c r="E20" s="30" t="s">
        <v>252</v>
      </c>
      <c r="F20" s="30" t="s">
        <v>253</v>
      </c>
      <c r="G20" s="30" t="s">
        <v>254</v>
      </c>
      <c r="H20" s="28"/>
      <c r="I20" s="32" t="s">
        <v>178</v>
      </c>
      <c r="J20" s="28"/>
      <c r="K20" s="28"/>
      <c r="L20" s="28"/>
      <c r="M20" s="30"/>
    </row>
    <row r="21" customFormat="false" ht="47.25" hidden="false" customHeight="true" outlineLevel="0" collapsed="false">
      <c r="A21" s="26" t="s">
        <v>255</v>
      </c>
      <c r="B21" s="27" t="s">
        <v>256</v>
      </c>
      <c r="C21" s="26" t="s">
        <v>192</v>
      </c>
      <c r="D21" s="26" t="s">
        <v>193</v>
      </c>
      <c r="E21" s="27" t="s">
        <v>257</v>
      </c>
      <c r="F21" s="27" t="s">
        <v>258</v>
      </c>
      <c r="G21" s="27" t="s">
        <v>259</v>
      </c>
      <c r="H21" s="28"/>
      <c r="I21" s="32" t="s">
        <v>178</v>
      </c>
      <c r="J21" s="28"/>
      <c r="K21" s="28"/>
      <c r="L21" s="28"/>
      <c r="M21" s="27"/>
    </row>
    <row r="22" customFormat="false" ht="47.25" hidden="false" customHeight="true" outlineLevel="0" collapsed="false">
      <c r="A22" s="29" t="s">
        <v>260</v>
      </c>
      <c r="B22" s="30" t="s">
        <v>261</v>
      </c>
      <c r="C22" s="29" t="s">
        <v>173</v>
      </c>
      <c r="D22" s="29" t="s">
        <v>61</v>
      </c>
      <c r="E22" s="30" t="s">
        <v>262</v>
      </c>
      <c r="F22" s="30" t="s">
        <v>263</v>
      </c>
      <c r="G22" s="30" t="s">
        <v>264</v>
      </c>
      <c r="H22" s="28"/>
      <c r="I22" s="32" t="s">
        <v>178</v>
      </c>
      <c r="J22" s="28"/>
      <c r="K22" s="28"/>
      <c r="L22" s="28"/>
      <c r="M22" s="30"/>
    </row>
  </sheetData>
  <conditionalFormatting sqref="I7:I22">
    <cfRule type="cellIs" priority="2" operator="equal" aboveAverage="0" equalAverage="0" bottom="0" percent="0" rank="0" text="" dxfId="4">
      <formula>"✓ PASS"</formula>
    </cfRule>
    <cfRule type="cellIs" priority="3" operator="equal" aboveAverage="0" equalAverage="0" bottom="0" percent="0" rank="0" text="" dxfId="5">
      <formula>"✗ FAIL"</formula>
    </cfRule>
    <cfRule type="cellIs" priority="4" operator="equal" aboveAverage="0" equalAverage="0" bottom="0" percent="0" rank="0" text="" dxfId="6">
      <formula>"⚠ WARN"</formula>
    </cfRule>
    <cfRule type="cellIs" priority="5" operator="equal" aboveAverage="0" equalAverage="0" bottom="0" percent="0" rank="0" text="" dxfId="7">
      <formula>"ℹ INFO"</formula>
    </cfRule>
    <cfRule type="cellIs" priority="6" operator="equal" aboveAverage="0" equalAverage="0" bottom="0" percent="0" rank="0" text="" dxfId="4">
      <formula>"✓ Pass"</formula>
    </cfRule>
    <cfRule type="cellIs" priority="7" operator="equal" aboveAverage="0" equalAverage="0" bottom="0" percent="0" rank="0" text="" dxfId="5">
      <formula>"✗ Fail"</formula>
    </cfRule>
    <cfRule type="cellIs" priority="8" operator="equal" aboveAverage="0" equalAverage="0" bottom="0" percent="0" rank="0" text="" dxfId="6">
      <formula>"⚠ Blocked"</formula>
    </cfRule>
    <cfRule type="cellIs" priority="9" operator="equal" aboveAverage="0" equalAverage="0" bottom="0" percent="0" rank="0" text="" dxfId="8">
      <formula>"○ Not run"</formula>
    </cfRule>
    <cfRule type="cellIs" priority="10" operator="equal" aboveAverage="0" equalAverage="0" bottom="0" percent="0" rank="0" text="" dxfId="4">
      <formula>"✓ Met"</formula>
    </cfRule>
    <cfRule type="cellIs" priority="11" operator="equal" aboveAverage="0" equalAverage="0" bottom="0" percent="0" rank="0" text="" dxfId="5">
      <formula>"✗ Not met"</formula>
    </cfRule>
    <cfRule type="cellIs" priority="12" operator="equal" aboveAverage="0" equalAverage="0" bottom="0" percent="0" rank="0" text="" dxfId="4">
      <formula>"✓ Verified"</formula>
    </cfRule>
    <cfRule type="cellIs" priority="13" operator="equal" aboveAverage="0" equalAverage="0" bottom="0" percent="0" rank="0" text="" dxfId="5">
      <formula>"✗ Mismatch"</formula>
    </cfRule>
  </conditionalFormatting>
  <conditionalFormatting sqref="C7:C22">
    <cfRule type="cellIs" priority="14" operator="equal" aboveAverage="0" equalAverage="0" bottom="0" percent="0" rank="0" text="" dxfId="10">
      <formula>"Core"</formula>
    </cfRule>
  </conditionalFormatting>
  <dataValidations count="1">
    <dataValidation allowBlank="true" errorStyle="stop" operator="between" showDropDown="false" showErrorMessage="false" showInputMessage="false" sqref="I7:I22" type="list">
      <formula1>"○ Not run,✓ Pass,✗ Fail,⚠ 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A1: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14" min="3" style="1" width="19"/>
  </cols>
  <sheetData>
    <row r="1" customFormat="false" ht="33.75" hidden="false" customHeight="true" outlineLevel="0" collapsed="false">
      <c r="A1" s="22" t="s">
        <v>265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9.5" hidden="false" customHeight="true" outlineLevel="0" collapsed="false">
      <c r="A2" s="23" t="s">
        <v>266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.7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customFormat="false" ht="15" hidden="false" customHeight="false" outlineLevel="0" collapsed="false">
      <c r="A4" s="24" t="s">
        <v>267</v>
      </c>
    </row>
    <row r="6" customFormat="false" ht="25.5" hidden="false" customHeight="true" outlineLevel="0" collapsed="false">
      <c r="A6" s="25" t="s">
        <v>268</v>
      </c>
      <c r="B6" s="25" t="s">
        <v>159</v>
      </c>
      <c r="C6" s="25" t="s">
        <v>116</v>
      </c>
      <c r="D6" s="25" t="s">
        <v>122</v>
      </c>
      <c r="E6" s="25" t="s">
        <v>125</v>
      </c>
      <c r="F6" s="25" t="s">
        <v>118</v>
      </c>
      <c r="G6" s="25" t="s">
        <v>148</v>
      </c>
      <c r="H6" s="25" t="s">
        <v>132</v>
      </c>
      <c r="I6" s="25" t="s">
        <v>128</v>
      </c>
      <c r="J6" s="25" t="s">
        <v>269</v>
      </c>
      <c r="K6" s="25" t="s">
        <v>136</v>
      </c>
      <c r="L6" s="25" t="s">
        <v>139</v>
      </c>
      <c r="M6" s="25" t="s">
        <v>142</v>
      </c>
      <c r="N6" s="25" t="s">
        <v>145</v>
      </c>
    </row>
    <row r="7" customFormat="false" ht="33.75" hidden="false" customHeight="true" outlineLevel="0" collapsed="false">
      <c r="A7" s="26" t="s">
        <v>174</v>
      </c>
      <c r="B7" s="27" t="s">
        <v>270</v>
      </c>
      <c r="C7" s="27" t="s">
        <v>271</v>
      </c>
      <c r="D7" s="27" t="s">
        <v>272</v>
      </c>
      <c r="E7" s="27" t="s">
        <v>273</v>
      </c>
      <c r="F7" s="27" t="s">
        <v>274</v>
      </c>
      <c r="G7" s="27" t="s">
        <v>150</v>
      </c>
      <c r="H7" s="27" t="s">
        <v>135</v>
      </c>
      <c r="I7" s="27" t="s">
        <v>275</v>
      </c>
      <c r="J7" s="27" t="s">
        <v>275</v>
      </c>
      <c r="K7" s="27" t="s">
        <v>276</v>
      </c>
      <c r="L7" s="27" t="s">
        <v>277</v>
      </c>
      <c r="M7" s="27" t="s">
        <v>278</v>
      </c>
      <c r="N7" s="27" t="s">
        <v>279</v>
      </c>
    </row>
    <row r="8" customFormat="false" ht="33.75" hidden="false" customHeight="true" outlineLevel="0" collapsed="false">
      <c r="A8" s="29" t="s">
        <v>181</v>
      </c>
      <c r="B8" s="30" t="s">
        <v>280</v>
      </c>
      <c r="C8" s="30" t="s">
        <v>117</v>
      </c>
      <c r="D8" s="30" t="s">
        <v>124</v>
      </c>
      <c r="E8" s="30" t="s">
        <v>127</v>
      </c>
      <c r="F8" s="30" t="s">
        <v>121</v>
      </c>
      <c r="G8" s="30" t="s">
        <v>150</v>
      </c>
      <c r="H8" s="30" t="s">
        <v>135</v>
      </c>
      <c r="I8" s="30" t="s">
        <v>131</v>
      </c>
      <c r="J8" s="30" t="s">
        <v>131</v>
      </c>
      <c r="K8" s="30" t="s">
        <v>138</v>
      </c>
      <c r="L8" s="30" t="s">
        <v>141</v>
      </c>
      <c r="M8" s="30" t="s">
        <v>144</v>
      </c>
      <c r="N8" s="30" t="s">
        <v>147</v>
      </c>
    </row>
    <row r="9" customFormat="false" ht="33.75" hidden="false" customHeight="true" outlineLevel="0" collapsed="false">
      <c r="A9" s="26" t="s">
        <v>193</v>
      </c>
      <c r="B9" s="27" t="s">
        <v>281</v>
      </c>
      <c r="C9" s="27" t="s">
        <v>282</v>
      </c>
      <c r="D9" s="27" t="s">
        <v>283</v>
      </c>
      <c r="E9" s="27" t="s">
        <v>284</v>
      </c>
      <c r="F9" s="27" t="s">
        <v>285</v>
      </c>
      <c r="G9" s="27" t="s">
        <v>150</v>
      </c>
      <c r="H9" s="27" t="s">
        <v>286</v>
      </c>
      <c r="I9" s="27" t="s">
        <v>287</v>
      </c>
      <c r="J9" s="27" t="s">
        <v>287</v>
      </c>
      <c r="K9" s="27" t="s">
        <v>288</v>
      </c>
      <c r="L9" s="27" t="s">
        <v>289</v>
      </c>
      <c r="M9" s="27" t="s">
        <v>290</v>
      </c>
      <c r="N9" s="27" t="s">
        <v>291</v>
      </c>
    </row>
    <row r="10" customFormat="false" ht="33.75" hidden="false" customHeight="true" outlineLevel="0" collapsed="false">
      <c r="A10" s="29" t="s">
        <v>205</v>
      </c>
      <c r="B10" s="30" t="s">
        <v>292</v>
      </c>
      <c r="C10" s="30" t="s">
        <v>293</v>
      </c>
      <c r="D10" s="30" t="s">
        <v>294</v>
      </c>
      <c r="E10" s="30" t="s">
        <v>295</v>
      </c>
      <c r="F10" s="30" t="s">
        <v>296</v>
      </c>
      <c r="G10" s="30" t="s">
        <v>150</v>
      </c>
      <c r="H10" s="30" t="s">
        <v>135</v>
      </c>
      <c r="I10" s="30" t="s">
        <v>297</v>
      </c>
      <c r="J10" s="30" t="s">
        <v>298</v>
      </c>
      <c r="K10" s="30" t="s">
        <v>299</v>
      </c>
      <c r="L10" s="30" t="s">
        <v>300</v>
      </c>
      <c r="M10" s="30" t="s">
        <v>278</v>
      </c>
      <c r="N10" s="30" t="s">
        <v>279</v>
      </c>
    </row>
    <row r="11" customFormat="false" ht="33.75" hidden="false" customHeight="true" outlineLevel="0" collapsed="false">
      <c r="A11" s="26" t="s">
        <v>199</v>
      </c>
      <c r="B11" s="27" t="s">
        <v>301</v>
      </c>
      <c r="C11" s="27" t="s">
        <v>302</v>
      </c>
      <c r="D11" s="27" t="s">
        <v>303</v>
      </c>
      <c r="E11" s="27" t="s">
        <v>304</v>
      </c>
      <c r="F11" s="27" t="s">
        <v>305</v>
      </c>
      <c r="G11" s="27" t="s">
        <v>150</v>
      </c>
      <c r="H11" s="27" t="s">
        <v>306</v>
      </c>
      <c r="I11" s="27" t="s">
        <v>307</v>
      </c>
      <c r="J11" s="27" t="s">
        <v>307</v>
      </c>
      <c r="K11" s="27" t="s">
        <v>308</v>
      </c>
      <c r="L11" s="27" t="s">
        <v>309</v>
      </c>
      <c r="M11" s="27" t="s">
        <v>290</v>
      </c>
      <c r="N11" s="27" t="s">
        <v>291</v>
      </c>
    </row>
    <row r="12" customFormat="false" ht="33.75" hidden="false" customHeight="true" outlineLevel="0" collapsed="false">
      <c r="A12" s="29" t="s">
        <v>211</v>
      </c>
      <c r="B12" s="30" t="s">
        <v>310</v>
      </c>
      <c r="C12" s="30" t="s">
        <v>311</v>
      </c>
      <c r="D12" s="30" t="s">
        <v>312</v>
      </c>
      <c r="E12" s="30" t="s">
        <v>313</v>
      </c>
      <c r="F12" s="30" t="s">
        <v>314</v>
      </c>
      <c r="G12" s="30" t="s">
        <v>150</v>
      </c>
      <c r="H12" s="30" t="s">
        <v>135</v>
      </c>
      <c r="I12" s="30" t="s">
        <v>315</v>
      </c>
      <c r="J12" s="30" t="s">
        <v>315</v>
      </c>
      <c r="K12" s="30" t="s">
        <v>316</v>
      </c>
      <c r="L12" s="30" t="s">
        <v>317</v>
      </c>
      <c r="M12" s="30" t="s">
        <v>290</v>
      </c>
      <c r="N12" s="30" t="s">
        <v>291</v>
      </c>
    </row>
    <row r="13" customFormat="false" ht="33.75" hidden="false" customHeight="true" outlineLevel="0" collapsed="false">
      <c r="A13" s="26" t="s">
        <v>222</v>
      </c>
      <c r="B13" s="27" t="s">
        <v>318</v>
      </c>
      <c r="C13" s="27" t="s">
        <v>319</v>
      </c>
      <c r="D13" s="27" t="s">
        <v>320</v>
      </c>
      <c r="E13" s="27" t="s">
        <v>321</v>
      </c>
      <c r="F13" s="27" t="s">
        <v>322</v>
      </c>
      <c r="G13" s="27" t="s">
        <v>323</v>
      </c>
      <c r="H13" s="27" t="s">
        <v>135</v>
      </c>
      <c r="I13" s="27" t="s">
        <v>324</v>
      </c>
      <c r="J13" s="27" t="s">
        <v>324</v>
      </c>
      <c r="K13" s="27" t="s">
        <v>325</v>
      </c>
      <c r="L13" s="27" t="s">
        <v>326</v>
      </c>
      <c r="M13" s="27" t="s">
        <v>327</v>
      </c>
      <c r="N13" s="27" t="s">
        <v>147</v>
      </c>
    </row>
    <row r="14" customFormat="false" ht="33.75" hidden="false" customHeight="true" outlineLevel="0" collapsed="false">
      <c r="A14" s="29" t="s">
        <v>228</v>
      </c>
      <c r="B14" s="30" t="s">
        <v>328</v>
      </c>
      <c r="C14" s="30" t="s">
        <v>329</v>
      </c>
      <c r="D14" s="30" t="s">
        <v>330</v>
      </c>
      <c r="E14" s="30" t="s">
        <v>331</v>
      </c>
      <c r="F14" s="30" t="s">
        <v>332</v>
      </c>
      <c r="G14" s="30" t="s">
        <v>333</v>
      </c>
      <c r="H14" s="30" t="s">
        <v>135</v>
      </c>
      <c r="I14" s="30" t="s">
        <v>334</v>
      </c>
      <c r="J14" s="30" t="s">
        <v>334</v>
      </c>
      <c r="K14" s="30" t="s">
        <v>299</v>
      </c>
      <c r="L14" s="30" t="s">
        <v>335</v>
      </c>
      <c r="M14" s="30" t="s">
        <v>144</v>
      </c>
      <c r="N14" s="30" t="s">
        <v>279</v>
      </c>
    </row>
    <row r="15" customFormat="false" ht="33.75" hidden="false" customHeight="true" outlineLevel="0" collapsed="false">
      <c r="A15" s="26" t="s">
        <v>336</v>
      </c>
      <c r="B15" s="27" t="s">
        <v>337</v>
      </c>
      <c r="C15" s="27" t="s">
        <v>338</v>
      </c>
      <c r="D15" s="27" t="s">
        <v>339</v>
      </c>
      <c r="E15" s="27" t="s">
        <v>340</v>
      </c>
      <c r="F15" s="27" t="s">
        <v>341</v>
      </c>
      <c r="G15" s="27" t="s">
        <v>150</v>
      </c>
      <c r="H15" s="27" t="s">
        <v>135</v>
      </c>
      <c r="I15" s="27" t="s">
        <v>342</v>
      </c>
      <c r="J15" s="27" t="s">
        <v>342</v>
      </c>
      <c r="K15" s="27" t="s">
        <v>276</v>
      </c>
      <c r="L15" s="27" t="s">
        <v>343</v>
      </c>
      <c r="M15" s="27" t="s">
        <v>278</v>
      </c>
      <c r="N15" s="27" t="s">
        <v>279</v>
      </c>
    </row>
    <row r="16" customFormat="false" ht="33.75" hidden="false" customHeight="true" outlineLevel="0" collapsed="false">
      <c r="A16" s="29" t="s">
        <v>344</v>
      </c>
      <c r="B16" s="30" t="s">
        <v>345</v>
      </c>
      <c r="C16" s="30" t="s">
        <v>346</v>
      </c>
      <c r="D16" s="30" t="s">
        <v>347</v>
      </c>
      <c r="E16" s="30" t="s">
        <v>340</v>
      </c>
      <c r="F16" s="30" t="s">
        <v>341</v>
      </c>
      <c r="G16" s="30" t="s">
        <v>348</v>
      </c>
      <c r="H16" s="30" t="s">
        <v>135</v>
      </c>
      <c r="I16" s="30" t="s">
        <v>349</v>
      </c>
      <c r="J16" s="30" t="s">
        <v>349</v>
      </c>
      <c r="K16" s="30" t="s">
        <v>350</v>
      </c>
      <c r="L16" s="30" t="s">
        <v>351</v>
      </c>
      <c r="M16" s="30" t="s">
        <v>327</v>
      </c>
      <c r="N16" s="30" t="s">
        <v>291</v>
      </c>
    </row>
    <row r="17" customFormat="false" ht="33.75" hidden="false" customHeight="true" outlineLevel="0" collapsed="false">
      <c r="A17" s="26" t="s">
        <v>239</v>
      </c>
      <c r="B17" s="27" t="s">
        <v>352</v>
      </c>
      <c r="C17" s="27" t="s">
        <v>353</v>
      </c>
      <c r="D17" s="27" t="s">
        <v>354</v>
      </c>
      <c r="E17" s="27" t="s">
        <v>355</v>
      </c>
      <c r="F17" s="27" t="s">
        <v>356</v>
      </c>
      <c r="G17" s="27" t="s">
        <v>150</v>
      </c>
      <c r="H17" s="27" t="s">
        <v>135</v>
      </c>
      <c r="I17" s="27" t="s">
        <v>357</v>
      </c>
      <c r="J17" s="27" t="s">
        <v>357</v>
      </c>
      <c r="K17" s="27" t="s">
        <v>358</v>
      </c>
      <c r="L17" s="27" t="s">
        <v>359</v>
      </c>
      <c r="M17" s="27" t="s">
        <v>290</v>
      </c>
      <c r="N17" s="27" t="s">
        <v>291</v>
      </c>
    </row>
    <row r="18" customFormat="false" ht="33.75" hidden="false" customHeight="true" outlineLevel="0" collapsed="false">
      <c r="A18" s="29" t="s">
        <v>245</v>
      </c>
      <c r="B18" s="30" t="s">
        <v>360</v>
      </c>
      <c r="C18" s="30" t="s">
        <v>361</v>
      </c>
      <c r="D18" s="30" t="s">
        <v>362</v>
      </c>
      <c r="E18" s="30" t="s">
        <v>363</v>
      </c>
      <c r="F18" s="30"/>
      <c r="G18" s="30" t="s">
        <v>150</v>
      </c>
      <c r="H18" s="30" t="s">
        <v>135</v>
      </c>
      <c r="I18" s="30" t="s">
        <v>364</v>
      </c>
      <c r="J18" s="30" t="s">
        <v>364</v>
      </c>
      <c r="K18" s="30" t="s">
        <v>299</v>
      </c>
      <c r="L18" s="30" t="s">
        <v>365</v>
      </c>
      <c r="M18" s="30" t="s">
        <v>144</v>
      </c>
      <c r="N18" s="30" t="s">
        <v>279</v>
      </c>
    </row>
    <row r="19" customFormat="false" ht="33.75" hidden="false" customHeight="true" outlineLevel="0" collapsed="false">
      <c r="A19" s="26" t="s">
        <v>251</v>
      </c>
      <c r="B19" s="27" t="s">
        <v>366</v>
      </c>
      <c r="C19" s="27" t="s">
        <v>367</v>
      </c>
      <c r="D19" s="27" t="s">
        <v>368</v>
      </c>
      <c r="E19" s="27" t="s">
        <v>369</v>
      </c>
      <c r="F19" s="27" t="s">
        <v>370</v>
      </c>
      <c r="G19" s="27" t="s">
        <v>150</v>
      </c>
      <c r="H19" s="27" t="s">
        <v>135</v>
      </c>
      <c r="I19" s="27" t="s">
        <v>371</v>
      </c>
      <c r="J19" s="27" t="s">
        <v>371</v>
      </c>
      <c r="K19" s="27" t="s">
        <v>276</v>
      </c>
      <c r="L19" s="27" t="s">
        <v>372</v>
      </c>
      <c r="M19" s="27" t="s">
        <v>278</v>
      </c>
      <c r="N19" s="27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50"/>
    <col collapsed="false" customWidth="true" hidden="false" outlineLevel="0" max="5" min="5" style="1" width="18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40"/>
    <col collapsed="false" customWidth="true" hidden="false" outlineLevel="0" max="9" min="9" style="1" width="11"/>
  </cols>
  <sheetData>
    <row r="1" customFormat="false" ht="33.75" hidden="false" customHeight="true" outlineLevel="0" collapsed="false">
      <c r="A1" s="22" t="s">
        <v>373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23" t="s">
        <v>374</v>
      </c>
      <c r="B2" s="2"/>
      <c r="C2" s="2"/>
      <c r="D2" s="2"/>
      <c r="E2" s="2"/>
      <c r="F2" s="2"/>
      <c r="G2" s="2"/>
      <c r="H2" s="2"/>
      <c r="I2" s="2"/>
    </row>
    <row r="3" customFormat="false" ht="3.7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</row>
    <row r="4" customFormat="false" ht="15" hidden="false" customHeight="false" outlineLevel="0" collapsed="false">
      <c r="A4" s="24" t="s">
        <v>375</v>
      </c>
    </row>
    <row r="6" customFormat="false" ht="25.5" hidden="false" customHeight="true" outlineLevel="0" collapsed="false">
      <c r="A6" s="25" t="s">
        <v>169</v>
      </c>
      <c r="B6" s="25" t="s">
        <v>158</v>
      </c>
      <c r="C6" s="25" t="s">
        <v>39</v>
      </c>
      <c r="D6" s="25" t="s">
        <v>376</v>
      </c>
      <c r="E6" s="25" t="s">
        <v>377</v>
      </c>
      <c r="F6" s="25" t="s">
        <v>378</v>
      </c>
      <c r="G6" s="25" t="s">
        <v>166</v>
      </c>
      <c r="H6" s="25" t="s">
        <v>41</v>
      </c>
      <c r="I6" s="25" t="s">
        <v>379</v>
      </c>
    </row>
    <row r="7" customFormat="false" ht="33.75" hidden="false" customHeight="true" outlineLevel="0" collapsed="false">
      <c r="A7" s="33" t="s">
        <v>380</v>
      </c>
      <c r="B7" s="33" t="s">
        <v>203</v>
      </c>
      <c r="C7" s="33" t="s">
        <v>381</v>
      </c>
      <c r="D7" s="34" t="s">
        <v>382</v>
      </c>
      <c r="E7" s="34" t="s">
        <v>383</v>
      </c>
      <c r="F7" s="34" t="s">
        <v>384</v>
      </c>
      <c r="G7" s="33" t="s">
        <v>385</v>
      </c>
      <c r="H7" s="34" t="s">
        <v>386</v>
      </c>
      <c r="I7" s="34" t="s">
        <v>384</v>
      </c>
    </row>
    <row r="8" customFormat="false" ht="20.25" hidden="false" customHeight="true" outlineLevel="0" collapsed="false">
      <c r="A8" s="29" t="s">
        <v>387</v>
      </c>
      <c r="B8" s="32"/>
      <c r="C8" s="32"/>
      <c r="D8" s="28"/>
      <c r="E8" s="28"/>
      <c r="F8" s="28"/>
      <c r="G8" s="32"/>
      <c r="H8" s="28"/>
      <c r="I8" s="28"/>
    </row>
    <row r="9" customFormat="false" ht="20.25" hidden="false" customHeight="true" outlineLevel="0" collapsed="false">
      <c r="A9" s="26" t="s">
        <v>388</v>
      </c>
      <c r="B9" s="32"/>
      <c r="C9" s="32"/>
      <c r="D9" s="28"/>
      <c r="E9" s="28"/>
      <c r="F9" s="28"/>
      <c r="G9" s="32"/>
      <c r="H9" s="28"/>
      <c r="I9" s="28"/>
    </row>
    <row r="10" customFormat="false" ht="20.25" hidden="false" customHeight="true" outlineLevel="0" collapsed="false">
      <c r="A10" s="29" t="s">
        <v>389</v>
      </c>
      <c r="B10" s="32"/>
      <c r="C10" s="32"/>
      <c r="D10" s="28"/>
      <c r="E10" s="28"/>
      <c r="F10" s="28"/>
      <c r="G10" s="32"/>
      <c r="H10" s="28"/>
      <c r="I10" s="28"/>
    </row>
    <row r="11" customFormat="false" ht="20.25" hidden="false" customHeight="true" outlineLevel="0" collapsed="false">
      <c r="A11" s="26" t="s">
        <v>390</v>
      </c>
      <c r="B11" s="32"/>
      <c r="C11" s="32"/>
      <c r="D11" s="28"/>
      <c r="E11" s="28"/>
      <c r="F11" s="28"/>
      <c r="G11" s="32"/>
      <c r="H11" s="28"/>
      <c r="I11" s="28"/>
    </row>
    <row r="12" customFormat="false" ht="20.25" hidden="false" customHeight="true" outlineLevel="0" collapsed="false">
      <c r="A12" s="29" t="s">
        <v>391</v>
      </c>
      <c r="B12" s="32"/>
      <c r="C12" s="32"/>
      <c r="D12" s="28"/>
      <c r="E12" s="28"/>
      <c r="F12" s="28"/>
      <c r="G12" s="32"/>
      <c r="H12" s="28"/>
      <c r="I12" s="28"/>
    </row>
    <row r="13" customFormat="false" ht="20.25" hidden="false" customHeight="true" outlineLevel="0" collapsed="false">
      <c r="A13" s="26" t="s">
        <v>392</v>
      </c>
      <c r="B13" s="32"/>
      <c r="C13" s="32"/>
      <c r="D13" s="28"/>
      <c r="E13" s="28"/>
      <c r="F13" s="28"/>
      <c r="G13" s="32"/>
      <c r="H13" s="28"/>
      <c r="I13" s="28"/>
    </row>
    <row r="14" customFormat="false" ht="20.25" hidden="false" customHeight="true" outlineLevel="0" collapsed="false">
      <c r="A14" s="29" t="s">
        <v>393</v>
      </c>
      <c r="B14" s="32"/>
      <c r="C14" s="32"/>
      <c r="D14" s="28"/>
      <c r="E14" s="28"/>
      <c r="F14" s="28"/>
      <c r="G14" s="32"/>
      <c r="H14" s="28"/>
      <c r="I14" s="28"/>
    </row>
    <row r="15" customFormat="false" ht="20.25" hidden="false" customHeight="true" outlineLevel="0" collapsed="false">
      <c r="A15" s="26" t="s">
        <v>394</v>
      </c>
      <c r="B15" s="32"/>
      <c r="C15" s="32"/>
      <c r="D15" s="28"/>
      <c r="E15" s="28"/>
      <c r="F15" s="28"/>
      <c r="G15" s="32"/>
      <c r="H15" s="28"/>
      <c r="I15" s="28"/>
    </row>
    <row r="16" customFormat="false" ht="20.25" hidden="false" customHeight="true" outlineLevel="0" collapsed="false">
      <c r="A16" s="29" t="s">
        <v>395</v>
      </c>
      <c r="B16" s="32"/>
      <c r="C16" s="32"/>
      <c r="D16" s="28"/>
      <c r="E16" s="28"/>
      <c r="F16" s="28"/>
      <c r="G16" s="32"/>
      <c r="H16" s="28"/>
      <c r="I16" s="28"/>
    </row>
    <row r="17" customFormat="false" ht="20.25" hidden="false" customHeight="true" outlineLevel="0" collapsed="false">
      <c r="A17" s="26" t="s">
        <v>396</v>
      </c>
      <c r="B17" s="32"/>
      <c r="C17" s="32"/>
      <c r="D17" s="28"/>
      <c r="E17" s="28"/>
      <c r="F17" s="28"/>
      <c r="G17" s="32"/>
      <c r="H17" s="28"/>
      <c r="I17" s="28"/>
    </row>
    <row r="18" customFormat="false" ht="20.25" hidden="false" customHeight="true" outlineLevel="0" collapsed="false">
      <c r="A18" s="29" t="s">
        <v>397</v>
      </c>
      <c r="B18" s="32"/>
      <c r="C18" s="32"/>
      <c r="D18" s="28"/>
      <c r="E18" s="28"/>
      <c r="F18" s="28"/>
      <c r="G18" s="32"/>
      <c r="H18" s="28"/>
      <c r="I18" s="28"/>
    </row>
    <row r="19" customFormat="false" ht="20.25" hidden="false" customHeight="true" outlineLevel="0" collapsed="false">
      <c r="A19" s="26" t="s">
        <v>398</v>
      </c>
      <c r="B19" s="32"/>
      <c r="C19" s="32"/>
      <c r="D19" s="28"/>
      <c r="E19" s="28"/>
      <c r="F19" s="28"/>
      <c r="G19" s="32"/>
      <c r="H19" s="28"/>
      <c r="I19" s="28"/>
    </row>
    <row r="20" customFormat="false" ht="20.25" hidden="false" customHeight="true" outlineLevel="0" collapsed="false">
      <c r="A20" s="29" t="s">
        <v>399</v>
      </c>
      <c r="B20" s="32"/>
      <c r="C20" s="32"/>
      <c r="D20" s="28"/>
      <c r="E20" s="28"/>
      <c r="F20" s="28"/>
      <c r="G20" s="32"/>
      <c r="H20" s="28"/>
      <c r="I20" s="28"/>
    </row>
    <row r="21" customFormat="false" ht="20.25" hidden="false" customHeight="true" outlineLevel="0" collapsed="false">
      <c r="A21" s="26" t="s">
        <v>400</v>
      </c>
      <c r="B21" s="32"/>
      <c r="C21" s="32"/>
      <c r="D21" s="28"/>
      <c r="E21" s="28"/>
      <c r="F21" s="28"/>
      <c r="G21" s="32"/>
      <c r="H21" s="28"/>
      <c r="I21" s="28"/>
    </row>
    <row r="22" customFormat="false" ht="20.25" hidden="false" customHeight="true" outlineLevel="0" collapsed="false">
      <c r="A22" s="29" t="s">
        <v>401</v>
      </c>
      <c r="B22" s="32"/>
      <c r="C22" s="32"/>
      <c r="D22" s="28"/>
      <c r="E22" s="28"/>
      <c r="F22" s="28"/>
      <c r="G22" s="32"/>
      <c r="H22" s="28"/>
      <c r="I22" s="28"/>
    </row>
    <row r="23" customFormat="false" ht="20.25" hidden="false" customHeight="true" outlineLevel="0" collapsed="false">
      <c r="A23" s="26" t="s">
        <v>402</v>
      </c>
      <c r="B23" s="32"/>
      <c r="C23" s="32"/>
      <c r="D23" s="28"/>
      <c r="E23" s="28"/>
      <c r="F23" s="28"/>
      <c r="G23" s="32"/>
      <c r="H23" s="28"/>
      <c r="I23" s="28"/>
    </row>
    <row r="24" customFormat="false" ht="20.25" hidden="false" customHeight="true" outlineLevel="0" collapsed="false">
      <c r="A24" s="29" t="s">
        <v>403</v>
      </c>
      <c r="B24" s="32"/>
      <c r="C24" s="32"/>
      <c r="D24" s="28"/>
      <c r="E24" s="28"/>
      <c r="F24" s="28"/>
      <c r="G24" s="32"/>
      <c r="H24" s="28"/>
      <c r="I24" s="28"/>
    </row>
    <row r="25" customFormat="false" ht="20.25" hidden="false" customHeight="true" outlineLevel="0" collapsed="false">
      <c r="A25" s="26" t="s">
        <v>404</v>
      </c>
      <c r="B25" s="32"/>
      <c r="C25" s="32"/>
      <c r="D25" s="28"/>
      <c r="E25" s="28"/>
      <c r="F25" s="28"/>
      <c r="G25" s="32"/>
      <c r="H25" s="28"/>
      <c r="I25" s="28"/>
    </row>
    <row r="26" customFormat="false" ht="20.25" hidden="false" customHeight="true" outlineLevel="0" collapsed="false">
      <c r="A26" s="29" t="s">
        <v>405</v>
      </c>
      <c r="B26" s="32"/>
      <c r="C26" s="32"/>
      <c r="D26" s="28"/>
      <c r="E26" s="28"/>
      <c r="F26" s="28"/>
      <c r="G26" s="32"/>
      <c r="H26" s="28"/>
      <c r="I26" s="28"/>
    </row>
    <row r="27" customFormat="false" ht="20.25" hidden="false" customHeight="true" outlineLevel="0" collapsed="false">
      <c r="A27" s="26" t="s">
        <v>406</v>
      </c>
      <c r="B27" s="32"/>
      <c r="C27" s="32"/>
      <c r="D27" s="28"/>
      <c r="E27" s="28"/>
      <c r="F27" s="28"/>
      <c r="G27" s="32"/>
      <c r="H27" s="28"/>
      <c r="I27" s="28"/>
    </row>
    <row r="28" customFormat="false" ht="20.25" hidden="false" customHeight="true" outlineLevel="0" collapsed="false">
      <c r="A28" s="29" t="s">
        <v>407</v>
      </c>
      <c r="B28" s="32"/>
      <c r="C28" s="32"/>
      <c r="D28" s="28"/>
      <c r="E28" s="28"/>
      <c r="F28" s="28"/>
      <c r="G28" s="32"/>
      <c r="H28" s="28"/>
      <c r="I28" s="28"/>
    </row>
    <row r="29" customFormat="false" ht="20.25" hidden="false" customHeight="true" outlineLevel="0" collapsed="false">
      <c r="A29" s="26" t="s">
        <v>408</v>
      </c>
      <c r="B29" s="32"/>
      <c r="C29" s="32"/>
      <c r="D29" s="28"/>
      <c r="E29" s="28"/>
      <c r="F29" s="28"/>
      <c r="G29" s="32"/>
      <c r="H29" s="28"/>
      <c r="I29" s="28"/>
    </row>
    <row r="30" customFormat="false" ht="20.25" hidden="false" customHeight="true" outlineLevel="0" collapsed="false">
      <c r="A30" s="29" t="s">
        <v>409</v>
      </c>
      <c r="B30" s="32"/>
      <c r="C30" s="32"/>
      <c r="D30" s="28"/>
      <c r="E30" s="28"/>
      <c r="F30" s="28"/>
      <c r="G30" s="32"/>
      <c r="H30" s="28"/>
      <c r="I30" s="28"/>
    </row>
    <row r="31" customFormat="false" ht="20.25" hidden="false" customHeight="true" outlineLevel="0" collapsed="false">
      <c r="A31" s="26" t="s">
        <v>410</v>
      </c>
      <c r="B31" s="32"/>
      <c r="C31" s="32"/>
      <c r="D31" s="28"/>
      <c r="E31" s="28"/>
      <c r="F31" s="28"/>
      <c r="G31" s="32"/>
      <c r="H31" s="28"/>
      <c r="I31" s="28"/>
    </row>
    <row r="32" customFormat="false" ht="20.25" hidden="false" customHeight="true" outlineLevel="0" collapsed="false">
      <c r="A32" s="29" t="s">
        <v>411</v>
      </c>
      <c r="B32" s="32"/>
      <c r="C32" s="32"/>
      <c r="D32" s="28"/>
      <c r="E32" s="28"/>
      <c r="F32" s="28"/>
      <c r="G32" s="32"/>
      <c r="H32" s="28"/>
      <c r="I32" s="28"/>
    </row>
    <row r="33" customFormat="false" ht="20.25" hidden="false" customHeight="true" outlineLevel="0" collapsed="false">
      <c r="A33" s="26" t="s">
        <v>412</v>
      </c>
      <c r="B33" s="32"/>
      <c r="C33" s="32"/>
      <c r="D33" s="28"/>
      <c r="E33" s="28"/>
      <c r="F33" s="28"/>
      <c r="G33" s="32"/>
      <c r="H33" s="28"/>
      <c r="I33" s="28"/>
    </row>
    <row r="34" customFormat="false" ht="20.25" hidden="false" customHeight="true" outlineLevel="0" collapsed="false">
      <c r="A34" s="29" t="s">
        <v>413</v>
      </c>
      <c r="B34" s="32"/>
      <c r="C34" s="32"/>
      <c r="D34" s="28"/>
      <c r="E34" s="28"/>
      <c r="F34" s="28"/>
      <c r="G34" s="32"/>
      <c r="H34" s="28"/>
      <c r="I34" s="28"/>
    </row>
    <row r="35" customFormat="false" ht="20.25" hidden="false" customHeight="true" outlineLevel="0" collapsed="false">
      <c r="A35" s="26" t="s">
        <v>414</v>
      </c>
      <c r="B35" s="32"/>
      <c r="C35" s="32"/>
      <c r="D35" s="28"/>
      <c r="E35" s="28"/>
      <c r="F35" s="28"/>
      <c r="G35" s="32"/>
      <c r="H35" s="28"/>
      <c r="I35" s="28"/>
    </row>
    <row r="36" customFormat="false" ht="20.25" hidden="false" customHeight="true" outlineLevel="0" collapsed="false">
      <c r="A36" s="29" t="s">
        <v>415</v>
      </c>
      <c r="B36" s="32"/>
      <c r="C36" s="32"/>
      <c r="D36" s="28"/>
      <c r="E36" s="28"/>
      <c r="F36" s="28"/>
      <c r="G36" s="32"/>
      <c r="H36" s="28"/>
      <c r="I36" s="28"/>
    </row>
    <row r="37" customFormat="false" ht="20.25" hidden="false" customHeight="true" outlineLevel="0" collapsed="false">
      <c r="A37" s="26" t="s">
        <v>416</v>
      </c>
      <c r="B37" s="32"/>
      <c r="C37" s="32"/>
      <c r="D37" s="28"/>
      <c r="E37" s="28"/>
      <c r="F37" s="28"/>
      <c r="G37" s="32"/>
      <c r="H37" s="28"/>
      <c r="I37" s="28"/>
    </row>
  </sheetData>
  <conditionalFormatting sqref="C8:C37">
    <cfRule type="cellIs" priority="2" operator="equal" aboveAverage="0" equalAverage="0" bottom="0" percent="0" rank="0" text="" dxfId="9">
      <formula>"High"</formula>
    </cfRule>
  </conditionalFormatting>
  <conditionalFormatting sqref="G8:G37">
    <cfRule type="cellIs" priority="3" operator="equal" aboveAverage="0" equalAverage="0" bottom="0" percent="0" rank="0" text="" dxfId="5">
      <formula>"Open"</formula>
    </cfRule>
    <cfRule type="cellIs" priority="4" operator="equal" aboveAverage="0" equalAverage="0" bottom="0" percent="0" rank="0" text="" dxfId="4">
      <formula>"Resolved"</formula>
    </cfRule>
  </conditionalFormatting>
  <dataValidations count="2">
    <dataValidation allowBlank="true" errorStyle="stop" operator="between" showDropDown="false" showErrorMessage="false" showInputMessage="false" sqref="C8:C37" type="list">
      <formula1>"High,Medium,Low"</formula1>
      <formula2>0</formula2>
    </dataValidation>
    <dataValidation allowBlank="true" errorStyle="stop" operator="between" showDropDown="false" showErrorMessage="false" showInputMessage="false" sqref="G8:G37" type="list">
      <formula1>"Open,In progress,Resolved,Won't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40"/>
    <col collapsed="false" customWidth="true" hidden="false" outlineLevel="0" max="3" min="3" style="1" width="26"/>
    <col collapsed="false" customWidth="true" hidden="false" outlineLevel="0" max="4" min="4" style="1" width="14"/>
  </cols>
  <sheetData>
    <row r="1" customFormat="false" ht="33.75" hidden="false" customHeight="true" outlineLevel="0" collapsed="false">
      <c r="A1" s="22" t="s">
        <v>417</v>
      </c>
      <c r="B1" s="2"/>
      <c r="C1" s="2"/>
      <c r="D1" s="2"/>
    </row>
    <row r="2" customFormat="false" ht="19.5" hidden="false" customHeight="true" outlineLevel="0" collapsed="false">
      <c r="A2" s="23" t="s">
        <v>418</v>
      </c>
      <c r="B2" s="2"/>
      <c r="C2" s="2"/>
      <c r="D2" s="2"/>
    </row>
    <row r="3" customFormat="false" ht="3.75" hidden="false" customHeight="true" outlineLevel="0" collapsed="false">
      <c r="A3" s="6"/>
      <c r="B3" s="6"/>
      <c r="C3" s="6"/>
      <c r="D3" s="6"/>
    </row>
    <row r="4" customFormat="false" ht="15" hidden="false" customHeight="false" outlineLevel="0" collapsed="false">
      <c r="A4" s="24" t="s">
        <v>419</v>
      </c>
    </row>
    <row r="6" customFormat="false" ht="25.5" hidden="false" customHeight="true" outlineLevel="0" collapsed="false">
      <c r="A6" s="25" t="s">
        <v>420</v>
      </c>
      <c r="B6" s="25" t="s">
        <v>166</v>
      </c>
    </row>
    <row r="7" customFormat="false" ht="20.25" hidden="false" customHeight="true" outlineLevel="0" collapsed="false">
      <c r="A7" s="27" t="s">
        <v>421</v>
      </c>
      <c r="B7" s="26" t="str">
        <f aca="false">IF(COUNTIF('Pre-UAT Validation'!$E$7:$E$27,"✗ FAIL")=0,"✓ Met","✗ Not met")</f>
        <v>✓ Met</v>
      </c>
    </row>
    <row r="8" customFormat="false" ht="20.25" hidden="false" customHeight="true" outlineLevel="0" collapsed="false">
      <c r="A8" s="30" t="s">
        <v>422</v>
      </c>
      <c r="B8" s="29" t="str">
        <f aca="false">IF(COUNTIFS('Test Cases'!$C$7:$C$22,"Core",'Test Cases'!$I$7:$I$22,"&lt;&gt;✓ Pass")=0,"✓ Met","✗ Not met")</f>
        <v>✗ Not met</v>
      </c>
    </row>
    <row r="9" customFormat="false" ht="20.25" hidden="false" customHeight="true" outlineLevel="0" collapsed="false">
      <c r="A9" s="27" t="s">
        <v>423</v>
      </c>
      <c r="B9" s="26" t="str">
        <f aca="false">IF(COUNTIFS('Test Cases'!$C$7:$C$22,"Edge",'Test Cases'!$I$7:$I$22,"○ Not run")+COUNTIFS('Test Cases'!$C$7:$C$22,"Edge",'Test Cases'!$I$7:$I$22,"⚠ Blocked")=0,"✓ Met","✗ Not met")</f>
        <v>✗ Not met</v>
      </c>
    </row>
    <row r="10" customFormat="false" ht="20.25" hidden="false" customHeight="true" outlineLevel="0" collapsed="false">
      <c r="A10" s="30" t="s">
        <v>424</v>
      </c>
      <c r="B10" s="29" t="str">
        <f aca="false">IF(COUNTIFS('Issue Log'!$C$8:$C$200,"High",'Issue Log'!$G$8:$G$200,"Open")=0,"✓ Met","✗ Not met")</f>
        <v>✓ Met</v>
      </c>
    </row>
    <row r="11" customFormat="false" ht="20.25" hidden="false" customHeight="true" outlineLevel="0" collapsed="false">
      <c r="A11" s="27" t="s">
        <v>425</v>
      </c>
      <c r="B11" s="26" t="str">
        <f aca="false">IF(COUNTIF('Field Mappings'!$H$7:$H$18,"✓ Verified")+COUNTIF('Field Mappings'!$H$7:$H$18,"N/A")=12,"✓ Met","✗ Not met")</f>
        <v>✗ Not met</v>
      </c>
    </row>
    <row r="13" customFormat="false" ht="21.75" hidden="false" customHeight="true" outlineLevel="0" collapsed="false">
      <c r="A13" s="12" t="s">
        <v>426</v>
      </c>
      <c r="B13" s="13"/>
      <c r="C13" s="13"/>
      <c r="D13" s="13"/>
    </row>
    <row r="14" customFormat="false" ht="25.5" hidden="false" customHeight="true" outlineLevel="0" collapsed="false">
      <c r="A14" s="25" t="s">
        <v>427</v>
      </c>
      <c r="B14" s="25" t="s">
        <v>428</v>
      </c>
      <c r="C14" s="25" t="s">
        <v>429</v>
      </c>
      <c r="D14" s="25" t="s">
        <v>168</v>
      </c>
    </row>
    <row r="15" customFormat="false" ht="20.25" hidden="false" customHeight="true" outlineLevel="0" collapsed="false">
      <c r="A15" s="27" t="s">
        <v>430</v>
      </c>
      <c r="B15" s="27" t="s">
        <v>431</v>
      </c>
      <c r="C15" s="28"/>
      <c r="D15" s="28"/>
    </row>
    <row r="16" customFormat="false" ht="20.25" hidden="false" customHeight="true" outlineLevel="0" collapsed="false">
      <c r="A16" s="30" t="s">
        <v>432</v>
      </c>
      <c r="B16" s="30" t="s">
        <v>433</v>
      </c>
      <c r="C16" s="28"/>
      <c r="D16" s="28"/>
    </row>
    <row r="17" customFormat="false" ht="20.25" hidden="false" customHeight="true" outlineLevel="0" collapsed="false">
      <c r="A17" s="27"/>
      <c r="B17" s="27" t="s">
        <v>434</v>
      </c>
      <c r="C17" s="28"/>
      <c r="D17" s="28"/>
    </row>
  </sheetData>
  <conditionalFormatting sqref="B7:B11">
    <cfRule type="cellIs" priority="2" operator="equal" aboveAverage="0" equalAverage="0" bottom="0" percent="0" rank="0" text="" dxfId="4">
      <formula>"✓ PASS"</formula>
    </cfRule>
    <cfRule type="cellIs" priority="3" operator="equal" aboveAverage="0" equalAverage="0" bottom="0" percent="0" rank="0" text="" dxfId="5">
      <formula>"✗ FAIL"</formula>
    </cfRule>
    <cfRule type="cellIs" priority="4" operator="equal" aboveAverage="0" equalAverage="0" bottom="0" percent="0" rank="0" text="" dxfId="6">
      <formula>"⚠ WARN"</formula>
    </cfRule>
    <cfRule type="cellIs" priority="5" operator="equal" aboveAverage="0" equalAverage="0" bottom="0" percent="0" rank="0" text="" dxfId="7">
      <formula>"ℹ INFO"</formula>
    </cfRule>
    <cfRule type="cellIs" priority="6" operator="equal" aboveAverage="0" equalAverage="0" bottom="0" percent="0" rank="0" text="" dxfId="4">
      <formula>"✓ Pass"</formula>
    </cfRule>
    <cfRule type="cellIs" priority="7" operator="equal" aboveAverage="0" equalAverage="0" bottom="0" percent="0" rank="0" text="" dxfId="5">
      <formula>"✗ Fail"</formula>
    </cfRule>
    <cfRule type="cellIs" priority="8" operator="equal" aboveAverage="0" equalAverage="0" bottom="0" percent="0" rank="0" text="" dxfId="6">
      <formula>"⚠ Blocked"</formula>
    </cfRule>
    <cfRule type="cellIs" priority="9" operator="equal" aboveAverage="0" equalAverage="0" bottom="0" percent="0" rank="0" text="" dxfId="8">
      <formula>"○ Not run"</formula>
    </cfRule>
    <cfRule type="cellIs" priority="10" operator="equal" aboveAverage="0" equalAverage="0" bottom="0" percent="0" rank="0" text="" dxfId="4">
      <formula>"✓ Met"</formula>
    </cfRule>
    <cfRule type="cellIs" priority="11" operator="equal" aboveAverage="0" equalAverage="0" bottom="0" percent="0" rank="0" text="" dxfId="5">
      <formula>"✗ Not met"</formula>
    </cfRule>
    <cfRule type="cellIs" priority="12" operator="equal" aboveAverage="0" equalAverage="0" bottom="0" percent="0" rank="0" text="" dxfId="4">
      <formula>"✓ Verified"</formula>
    </cfRule>
    <cfRule type="cellIs" priority="13" operator="equal" aboveAverage="0" equalAverage="0" bottom="0" percent="0" rank="0" text="" dxfId="5">
      <formula>"✗ Mismatch"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33.75" hidden="false" customHeight="true" outlineLevel="0" collapsed="false">
      <c r="A1" s="22" t="s">
        <v>435</v>
      </c>
      <c r="B1" s="2"/>
    </row>
    <row r="2" customFormat="false" ht="19.5" hidden="false" customHeight="true" outlineLevel="0" collapsed="false">
      <c r="A2" s="23" t="s">
        <v>436</v>
      </c>
      <c r="B2" s="2"/>
    </row>
    <row r="3" customFormat="false" ht="3.75" hidden="false" customHeight="true" outlineLevel="0" collapsed="false">
      <c r="A3" s="6"/>
      <c r="B3" s="6"/>
    </row>
    <row r="6" customFormat="false" ht="25.5" hidden="false" customHeight="true" outlineLevel="0" collapsed="false">
      <c r="A6" s="25" t="s">
        <v>437</v>
      </c>
      <c r="B6" s="25" t="s">
        <v>438</v>
      </c>
    </row>
    <row r="7" customFormat="false" ht="20.25" hidden="false" customHeight="true" outlineLevel="0" collapsed="false">
      <c r="A7" s="27" t="s">
        <v>439</v>
      </c>
      <c r="B7" s="27" t="s">
        <v>440</v>
      </c>
    </row>
    <row r="8" customFormat="false" ht="33.75" hidden="false" customHeight="true" outlineLevel="0" collapsed="false">
      <c r="A8" s="30" t="s">
        <v>441</v>
      </c>
      <c r="B8" s="30" t="s">
        <v>442</v>
      </c>
    </row>
    <row r="9" customFormat="false" ht="33.75" hidden="false" customHeight="true" outlineLevel="0" collapsed="false">
      <c r="A9" s="27" t="s">
        <v>443</v>
      </c>
      <c r="B9" s="27" t="s">
        <v>444</v>
      </c>
    </row>
    <row r="10" customFormat="false" ht="33.75" hidden="false" customHeight="true" outlineLevel="0" collapsed="false">
      <c r="A10" s="30" t="s">
        <v>445</v>
      </c>
      <c r="B10" s="30" t="s">
        <v>446</v>
      </c>
    </row>
    <row r="11" customFormat="false" ht="20.25" hidden="false" customHeight="true" outlineLevel="0" collapsed="false">
      <c r="A11" s="27" t="s">
        <v>161</v>
      </c>
      <c r="B11" s="27" t="s">
        <v>447</v>
      </c>
    </row>
    <row r="12" customFormat="false" ht="20.25" hidden="false" customHeight="true" outlineLevel="0" collapsed="false">
      <c r="A12" s="30" t="s">
        <v>448</v>
      </c>
      <c r="B12" s="30" t="s">
        <v>449</v>
      </c>
    </row>
    <row r="13" customFormat="false" ht="20.25" hidden="false" customHeight="true" outlineLevel="0" collapsed="false">
      <c r="A13" s="27" t="s">
        <v>450</v>
      </c>
      <c r="B13" s="27" t="s">
        <v>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2026-10-09T17:23:09Z</dcterms:created>
  <dc:creator>openpyxl</dc:creator>
  <dc:description/>
  <dc:language>en-US</dc:language>
  <cp:lastModifiedBy/>
  <dcterms:modified xsi:type="dcterms:W3CDTF">2026-10-09T17:23:09Z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