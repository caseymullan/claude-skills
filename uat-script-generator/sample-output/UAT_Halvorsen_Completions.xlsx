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e-UAT Validation" sheetId="2" state="visible" r:id="rId4"/>
    <sheet name="Field Mappings" sheetId="3" state="visible" r:id="rId5"/>
    <sheet name="Test Cases" sheetId="4" state="visible" r:id="rId6"/>
    <sheet name="Test Data" sheetId="5" state="visible" r:id="rId7"/>
    <sheet name="Issue Log" sheetId="6" state="visible" r:id="rId8"/>
    <sheet name="Sign-off" sheetId="7" state="visible" r:id="rId9"/>
    <sheet name="AI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<sst xmlns="http://schemas.openxmlformats.org/spreadsheetml/2006/main" count="429" uniqueCount="308">
  <si>
    <t xml:space="preserve">UAT WORKBOOK  ·  LMS COMPLETIONS</t>
  </si>
  <si>
    <t xml:space="preserve">Halvorsen Freight</t>
  </si>
  <si>
    <t xml:space="preserve">Learning Platform  →  SuccessFactors LMS   ·   UAT   ·   generated 2026-10-09</t>
  </si>
  <si>
    <t xml:space="preserve">BLOCKING CHECKS</t>
  </si>
  <si>
    <t xml:space="preserve">TEST CASES</t>
  </si>
  <si>
    <t xml:space="preserve">PASSED</t>
  </si>
  <si>
    <t xml:space="preserve">OPEN ISSUES</t>
  </si>
  <si>
    <t xml:space="preserve">TEST PROGRESS</t>
  </si>
  <si>
    <t xml:space="preserve">DETAILS</t>
  </si>
  <si>
    <t xml:space="preserve">Workflow</t>
  </si>
  <si>
    <t xml:space="preserve">Halvorsen Freight | Learning Platform -&gt; SuccessFactors LMS | Completions</t>
  </si>
  <si>
    <t xml:space="preserve">Workflow ID</t>
  </si>
  <si>
    <t xml:space="preserve">wf_8b21de04-hf-completions</t>
  </si>
  <si>
    <t xml:space="preserve">Schedule (as built)</t>
  </si>
  <si>
    <t xml:space="preserve">daily</t>
  </si>
  <si>
    <t xml:space="preserve">Match key</t>
  </si>
  <si>
    <t xml:space="preserve">STUDENT_ID + ITEM_ID + COMPLETION_DATE</t>
  </si>
  <si>
    <t xml:space="preserve">Spec signed by</t>
  </si>
  <si>
    <t xml:space="preserve">Priya Natarajan, LMS Administrator, Halvorsen Freight (2026-09-29)</t>
  </si>
  <si>
    <t xml:space="preserve">HOW TO USE THIS WORKBOOK</t>
  </si>
  <si>
    <t xml:space="preserve">1  Pre-UAT Validation</t>
  </si>
  <si>
    <t xml:space="preserve">Integration team fixes every ✗ FAIL before the customer starts testing.</t>
  </si>
  <si>
    <t xml:space="preserve">2  Field Mappings</t>
  </si>
  <si>
    <t xml:space="preserve">Customer checks each field against a real record and marks it ✓ Verified.</t>
  </si>
  <si>
    <t xml:space="preserve">3  Test Cases</t>
  </si>
  <si>
    <t xml:space="preserve">Run each case with its persona from Test Data; record the result and status.</t>
  </si>
  <si>
    <t xml:space="preserve">4  Issue Log</t>
  </si>
  <si>
    <t xml:space="preserve">Log every failed or blocked case and link the Issue ID back to the test case.</t>
  </si>
  <si>
    <t xml:space="preserve">5  Sign-off</t>
  </si>
  <si>
    <t xml:space="preserve">When every criterion reads ✓ Met, both sides sign and cutover is scheduled.</t>
  </si>
  <si>
    <t xml:space="preserve">Yellow cells are inputs. Everything else is generated or calculated.</t>
  </si>
  <si>
    <t xml:space="preserve">Pre-UAT Validation</t>
  </si>
  <si>
    <t xml:space="preserve">Halvorsen Freight · LMS Completions · the workflow as built vs. the signed requirements spec</t>
  </si>
  <si>
    <t xml:space="preserve">Resolve every ✗ FAIL before the customer starts testing. When a fix ships, re-run the generator (check IDs stay the same) or set Result and note it in Resolution.</t>
  </si>
  <si>
    <t xml:space="preserve">Check</t>
  </si>
  <si>
    <t xml:space="preserve">Category</t>
  </si>
  <si>
    <t xml:space="preserve">Signed requirement</t>
  </si>
  <si>
    <t xml:space="preserve">Workflow as built</t>
  </si>
  <si>
    <t xml:space="preserve">Result</t>
  </si>
  <si>
    <t xml:space="preserve">Severity</t>
  </si>
  <si>
    <t xml:space="preserve">Recommended action</t>
  </si>
  <si>
    <t xml:space="preserve">Resolution</t>
  </si>
  <si>
    <t xml:space="preserve">V-11</t>
  </si>
  <si>
    <t xml:space="preserve">Dates &amp; time zones</t>
  </si>
  <si>
    <t xml:space="preserve">COMPLETION_DATE converted in America/Chicago</t>
  </si>
  <si>
    <t xml:space="preserve">Converted in UTC</t>
  </si>
  <si>
    <t xml:space="preserve">✗ FAIL</t>
  </si>
  <si>
    <t xml:space="preserve">High</t>
  </si>
  <si>
    <t xml:space="preserve">Set timezone to America/Chicago. Late-evening completions will otherwise land on the next calendar day in the customer's system.</t>
  </si>
  <si>
    <t xml:space="preserve">V-12</t>
  </si>
  <si>
    <t xml:space="preserve">Error handling</t>
  </si>
  <si>
    <t xml:space="preserve">Retry on HTTP 429, 500, 503</t>
  </si>
  <si>
    <t xml:space="preserve">Retries on 500, 502, 503</t>
  </si>
  <si>
    <t xml:space="preserve">Add retry on 429. 429 = API rate limit; large first loads will drop records without it.</t>
  </si>
  <si>
    <t xml:space="preserve">V-01</t>
  </si>
  <si>
    <t xml:space="preserve">Scope</t>
  </si>
  <si>
    <t xml:space="preserve">Integration type: lms_completions</t>
  </si>
  <si>
    <t xml:space="preserve">Workflow tagged: lms_completions</t>
  </si>
  <si>
    <t xml:space="preserve">✓ PASS</t>
  </si>
  <si>
    <t xml:space="preserve">—</t>
  </si>
  <si>
    <t xml:space="preserve">V-02</t>
  </si>
  <si>
    <t xml:space="preserve">Identity</t>
  </si>
  <si>
    <t xml:space="preserve">Records match on learner.external_id → STUDENT_ID</t>
  </si>
  <si>
    <t xml:space="preserve">Match on STUDENT_ID; STUDENT_ID ← learner.external_id</t>
  </si>
  <si>
    <t xml:space="preserve">V-03</t>
  </si>
  <si>
    <t xml:space="preserve">Field mapping</t>
  </si>
  <si>
    <t xml:space="preserve">STUDENT_ID ← learner.external_id</t>
  </si>
  <si>
    <t xml:space="preserve">V-04</t>
  </si>
  <si>
    <t xml:space="preserve">ITEM_ID ← course.external_course_id</t>
  </si>
  <si>
    <t xml:space="preserve">V-05</t>
  </si>
  <si>
    <t xml:space="preserve">ITEM_TYPE ← course.course_type</t>
  </si>
  <si>
    <t xml:space="preserve">V-06</t>
  </si>
  <si>
    <t xml:space="preserve">COMPLETION_DATE ← completed_at</t>
  </si>
  <si>
    <t xml:space="preserve">V-07</t>
  </si>
  <si>
    <t xml:space="preserve">COMPLETION_STATUS ← status</t>
  </si>
  <si>
    <t xml:space="preserve">V-08</t>
  </si>
  <si>
    <t xml:space="preserve">SCORE ← score</t>
  </si>
  <si>
    <t xml:space="preserve">V-09</t>
  </si>
  <si>
    <t xml:space="preserve">Population filter</t>
  </si>
  <si>
    <t xml:space="preserve">course_type in OLT</t>
  </si>
  <si>
    <t xml:space="preserve">V-10</t>
  </si>
  <si>
    <t xml:space="preserve">Schedule</t>
  </si>
  <si>
    <t xml:space="preserve">Runs daily</t>
  </si>
  <si>
    <t xml:space="preserve">Field Mappings</t>
  </si>
  <si>
    <t xml:space="preserve">Every field written to SuccessFactors LMS, plus agreed fields not yet built</t>
  </si>
  <si>
    <t xml:space="preserve">Customer: check each field against one real record and set Verified. Sample values come from persona P-02 on Test Data.</t>
  </si>
  <si>
    <t xml:space="preserve">#</t>
  </si>
  <si>
    <t xml:space="preserve">Source field (Learning Platform)</t>
  </si>
  <si>
    <t xml:space="preserve">Target field (SuccessFactors LMS)</t>
  </si>
  <si>
    <t xml:space="preserve">Agreed source (spec)</t>
  </si>
  <si>
    <t xml:space="preserve">Transform</t>
  </si>
  <si>
    <t xml:space="preserve">Sample value</t>
  </si>
  <si>
    <t xml:space="preserve">Flag</t>
  </si>
  <si>
    <t xml:space="preserve">Verified</t>
  </si>
  <si>
    <t xml:space="preserve">Notes</t>
  </si>
  <si>
    <t xml:space="preserve">learner.external_id</t>
  </si>
  <si>
    <t xml:space="preserve">STUDENT_ID</t>
  </si>
  <si>
    <t xml:space="preserve">HF-12871</t>
  </si>
  <si>
    <t xml:space="preserve">course.external_course_id</t>
  </si>
  <si>
    <t xml:space="preserve">ITEM_ID</t>
  </si>
  <si>
    <t xml:space="preserve">COMP-220</t>
  </si>
  <si>
    <t xml:space="preserve">course.course_type</t>
  </si>
  <si>
    <t xml:space="preserve">ITEM_TYPE</t>
  </si>
  <si>
    <t xml:space="preserve">constant:OLT</t>
  </si>
  <si>
    <t xml:space="preserve">OLT</t>
  </si>
  <si>
    <t xml:space="preserve">completed_at</t>
  </si>
  <si>
    <t xml:space="preserve">COMPLETION_DATE</t>
  </si>
  <si>
    <t xml:space="preserve">datetime:epoch_ms (tz UTC)</t>
  </si>
  <si>
    <t xml:space="preserve">2026-10-08 23:41</t>
  </si>
  <si>
    <t xml:space="preserve">✗ V-11</t>
  </si>
  <si>
    <t xml:space="preserve">status</t>
  </si>
  <si>
    <t xml:space="preserve">COMPLETION_STATUS</t>
  </si>
  <si>
    <t xml:space="preserve">value_map: completed→OLT-COMPLETE</t>
  </si>
  <si>
    <t xml:space="preserve">completed</t>
  </si>
  <si>
    <t xml:space="preserve">score</t>
  </si>
  <si>
    <t xml:space="preserve">SCORE</t>
  </si>
  <si>
    <t xml:space="preserve">88</t>
  </si>
  <si>
    <t xml:space="preserve">Test Cases</t>
  </si>
  <si>
    <t xml:space="preserve">Halvorsen Freight · LMS Completions · Learning Platform → SuccessFactors LMS</t>
  </si>
  <si>
    <t xml:space="preserve">Yellow cells are for the tester. Set Status from the dropdown; log every ✗ Fail or ⚠ Blocked in the Issue Log and put its ID here.</t>
  </si>
  <si>
    <t xml:space="preserve">TC ID</t>
  </si>
  <si>
    <t xml:space="preserve">Scenario</t>
  </si>
  <si>
    <t xml:space="preserve">Type</t>
  </si>
  <si>
    <t xml:space="preserve">Test data</t>
  </si>
  <si>
    <t xml:space="preserve">Preconditions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</si>
  <si>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</si>
  <si>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</si>
  <si>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</si>
  <si>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</si>
  <si>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Tester</t>
  </si>
  <si>
    <t xml:space="preserve">Date</t>
  </si>
  <si>
    <t xml:space="preserve">Issue ID</t>
  </si>
  <si>
    <t xml:space="preserve">Pre-UAT dependency</t>
  </si>
  <si>
    <t xml:space="preserve">TC-01</t>
  </si>
  <si>
    <t xml:space="preserve">Completion posts to learning history</t>
  </si>
  <si>
    <t xml:space="preserve">Core</t>
  </si>
  <si>
    <t xml:space="preserve">P-01</t>
  </si>
  <si>
    <t xml:space="preserve">P-01 exists as a student in the LMS; SAFE-101 exists in the LMS catalog as OLT.</t>
  </si>
  <si>
    <t xml:space="preserve">1. P-01 completes SAFE-101 in the learning platform.
2. Run the completions sync (or wait for the next scheduled run).
3. Open P-01's learning history in SuccessFactors LMS.</t>
  </si>
  <si>
    <t xml:space="preserve">One completion record for SAFE-101 with correct date, status and score.</t>
  </si>
  <si>
    <t xml:space="preserve">○ Not run</t>
  </si>
  <si>
    <t xml:space="preserve">TC-02</t>
  </si>
  <si>
    <t xml:space="preserve">All mapped fields land correctly</t>
  </si>
  <si>
    <t xml:space="preserve">Completion from the previous case has posted.</t>
  </si>
  <si>
    <t xml:space="preserve">Compare each field on the Field Mappings tab against the LMS record.</t>
  </si>
  <si>
    <t xml:space="preserve">Every field matches; mark each row Verified on the Field Mappings tab.</t>
  </si>
  <si>
    <t xml:space="preserve">⚠ Will fail until V-11 is fixed</t>
  </si>
  <si>
    <t xml:space="preserve">TC-03</t>
  </si>
  <si>
    <t xml:space="preserve">Late-evening completion keeps its calendar date</t>
  </si>
  <si>
    <t xml:space="preserve">Edge</t>
  </si>
  <si>
    <t xml:space="preserve">P-02</t>
  </si>
  <si>
    <t xml:space="preserve">P-02 completes at 11:41 PM local time.</t>
  </si>
  <si>
    <t xml:space="preserve">1. P-02 completes COMP-220 at 23:41 America/Chicago.
2. Run the completions sync (or wait for the next scheduled run).
3. Check COMPLETION_DATE in SuccessFactors LMS.</t>
  </si>
  <si>
    <t xml:space="preserve">Completion date shows 2026-10-08, not 2026-10-09.</t>
  </si>
  <si>
    <t xml:space="preserve">TC-04</t>
  </si>
  <si>
    <t xml:space="preserve">Non-OLT course is not sent</t>
  </si>
  <si>
    <t xml:space="preserve">P-03</t>
  </si>
  <si>
    <t xml:space="preserve">ILT-040 is an instructor-led course.</t>
  </si>
  <si>
    <t xml:space="preserve">1. Mark P-03 complete on ILT-040.
2. Run the completions sync (or wait for the next scheduled run).</t>
  </si>
  <si>
    <t xml:space="preserve">No learning-history record is posted for ILT-040. Not logged as an error.</t>
  </si>
  <si>
    <t xml:space="preserve">TC-05</t>
  </si>
  <si>
    <t xml:space="preserve">Learner with no matching LMS student</t>
  </si>
  <si>
    <t xml:space="preserve">P-04</t>
  </si>
  <si>
    <t xml:space="preserve">HF-20417 is a new hire not yet provisioned in the LMS.</t>
  </si>
  <si>
    <t xml:space="preserve">1. P-04 completes SAFE-101.
2. Run the completions sync (or wait for the next scheduled run).
3. Check the integration error log.</t>
  </si>
  <si>
    <t xml:space="preserve">Record is logged as 'student not found' and retried on the next run; no phantom student is created.</t>
  </si>
  <si>
    <t xml:space="preserve">TC-06</t>
  </si>
  <si>
    <t xml:space="preserve">Duplicate completion is idempotent</t>
  </si>
  <si>
    <t xml:space="preserve">P-05</t>
  </si>
  <si>
    <t xml:space="preserve">P-05's completion already posted.</t>
  </si>
  <si>
    <t xml:space="preserve">1. Re-run the sync for the same window.
2. Check P-05's history in SuccessFactors LMS.</t>
  </si>
  <si>
    <t xml:space="preserve">Still exactly one record for that completion date.</t>
  </si>
  <si>
    <t xml:space="preserve">TC-07</t>
  </si>
  <si>
    <t xml:space="preserve">Retake on a later date</t>
  </si>
  <si>
    <t xml:space="preserve">P-06</t>
  </si>
  <si>
    <t xml:space="preserve">P-06 is the same learner as P-05, retaking SAFE-101 the next day.</t>
  </si>
  <si>
    <t xml:space="preserve">1. Learner completes SAFE-101 again on 2026-10-09.
2. Run the completions sync (or wait for the next scheduled run).</t>
  </si>
  <si>
    <t xml:space="preserve">A second history record posts with the new date and score; the first is unchanged.</t>
  </si>
  <si>
    <t xml:space="preserve">TC-08</t>
  </si>
  <si>
    <t xml:space="preserve">Course not in LMS catalog</t>
  </si>
  <si>
    <t xml:space="preserve">P-07</t>
  </si>
  <si>
    <t xml:space="preserve">NEW-999 has no matching ITEM_ID in the LMS.</t>
  </si>
  <si>
    <t xml:space="preserve">1. P-07 completes NEW-999.
2. Run the completions sync (or wait for the next scheduled run).
3. Check the error log.</t>
  </si>
  <si>
    <t xml:space="preserve">Record is rejected with a readable 'item not found' reason; batch continues.</t>
  </si>
  <si>
    <t xml:space="preserve">TC-09</t>
  </si>
  <si>
    <t xml:space="preserve">Peak-volume batch completes</t>
  </si>
  <si>
    <t xml:space="preserve">Bulk-complete 2500 records in the test tenant (e.g. a compliance deadline).</t>
  </si>
  <si>
    <t xml:space="preserve">1. Trigger a bulk completion batch.
2. Run the completions sync (or wait for the next scheduled run).
3. Reconcile counts: platform completions vs LMS records.</t>
  </si>
  <si>
    <t xml:space="preserve">All records post. Rate-limit (HTTP 429) responses are retried, not dropped.</t>
  </si>
  <si>
    <t xml:space="preserve">⚠ Will fail until V-12 is fixed</t>
  </si>
  <si>
    <t xml:space="preserve">Test Data</t>
  </si>
  <si>
    <t xml:space="preserve">Fictional personas the test cases use</t>
  </si>
  <si>
    <t xml:space="preserve">Create or modify these records in the TEST tenant only. Times are the customer's local time zone.</t>
  </si>
  <si>
    <t xml:space="preserve">Persona</t>
  </si>
  <si>
    <t xml:space="preserve">Learner name</t>
  </si>
  <si>
    <t xml:space="preserve">Course title</t>
  </si>
  <si>
    <t xml:space="preserve">Standard completion</t>
  </si>
  <si>
    <t xml:space="preserve">HF-11802</t>
  </si>
  <si>
    <t xml:space="preserve">Devon Akintola</t>
  </si>
  <si>
    <t xml:space="preserve">SAFE-101</t>
  </si>
  <si>
    <t xml:space="preserve">Forklift Safety Refresher</t>
  </si>
  <si>
    <t xml:space="preserve">2026-10-08 14:22</t>
  </si>
  <si>
    <t xml:space="preserve">92</t>
  </si>
  <si>
    <t xml:space="preserve">Late-evening completion</t>
  </si>
  <si>
    <t xml:space="preserve">Samir Haddad</t>
  </si>
  <si>
    <t xml:space="preserve">Anti-Bribery Essentials</t>
  </si>
  <si>
    <t xml:space="preserve">Non-OLT course</t>
  </si>
  <si>
    <t xml:space="preserve">HF-15560</t>
  </si>
  <si>
    <t xml:space="preserve">Jordan Whitaker-Lee</t>
  </si>
  <si>
    <t xml:space="preserve">ILT-040</t>
  </si>
  <si>
    <t xml:space="preserve">Manager Workshop (in person)</t>
  </si>
  <si>
    <t xml:space="preserve">ILT</t>
  </si>
  <si>
    <t xml:space="preserve">2026-10-07 16:05</t>
  </si>
  <si>
    <t xml:space="preserve">No matching LMS student</t>
  </si>
  <si>
    <t xml:space="preserve">HF-20417</t>
  </si>
  <si>
    <t xml:space="preserve">Renata Alcott</t>
  </si>
  <si>
    <t xml:space="preserve">2026-10-08 09:10</t>
  </si>
  <si>
    <t xml:space="preserve">100</t>
  </si>
  <si>
    <t xml:space="preserve">Duplicate completion</t>
  </si>
  <si>
    <t xml:space="preserve">HF-13002</t>
  </si>
  <si>
    <t xml:space="preserve">Aisha Rahman</t>
  </si>
  <si>
    <t xml:space="preserve">2026-10-08 10:30</t>
  </si>
  <si>
    <t xml:space="preserve">95</t>
  </si>
  <si>
    <t xml:space="preserve">2026-10-09 08:15</t>
  </si>
  <si>
    <t xml:space="preserve">98</t>
  </si>
  <si>
    <t xml:space="preserve">Course missing from LMS catalog</t>
  </si>
  <si>
    <t xml:space="preserve">HF-17788</t>
  </si>
  <si>
    <t xml:space="preserve">Zoë Ó Briain-Søndergaard</t>
  </si>
  <si>
    <t xml:space="preserve">NEW-999</t>
  </si>
  <si>
    <t xml:space="preserve">Pilot Course (not in catalog)</t>
  </si>
  <si>
    <t xml:space="preserve">2026-10-08 11:00</t>
  </si>
  <si>
    <t xml:space="preserve">75</t>
  </si>
  <si>
    <t xml:space="preserve">Issue Log</t>
  </si>
  <si>
    <t xml:space="preserve">Every failed or blocked test case gets a row here</t>
  </si>
  <si>
    <t xml:space="preserve">Row 7 is a greyed-out example showing the format; it is not counted. Log issues from row 8.</t>
  </si>
  <si>
    <t xml:space="preserve">Description</t>
  </si>
  <si>
    <t xml:space="preserve">Owner</t>
  </si>
  <si>
    <t xml:space="preserve">Opened</t>
  </si>
  <si>
    <t xml:space="preserve">Closed</t>
  </si>
  <si>
    <t xml:space="preserve">ISS-000</t>
  </si>
  <si>
    <t xml:space="preserve">Rehired worker created as a new user instead of reactivating the original.</t>
  </si>
  <si>
    <t xml:space="preserve">Integration team</t>
  </si>
  <si>
    <t xml:space="preserve">2026-10-09</t>
  </si>
  <si>
    <t xml:space="preserve">Example</t>
  </si>
  <si>
    <t xml:space="preserve">Hire date source corrected; re-tested OK.</t>
  </si>
  <si>
    <t xml:space="preserve">ISS-001</t>
  </si>
  <si>
    <t xml:space="preserve">ISS-002</t>
  </si>
  <si>
    <t xml:space="preserve">ISS-003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</si>
  <si>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</si>
  <si>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</si>
  <si>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</si>
  <si>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</si>
  <si>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</si>
  <si>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</si>
  <si>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</si>
  <si>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</si>
  <si>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</si>
  <si>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</si>
  <si>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</si>
  <si>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</si>
  <si>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</si>
  <si>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</si>
  <si>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</si>
  <si>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</si>
  <si>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</si>
  <si>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</si>
  <si>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</si>
  <si>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</si>
  <si>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</si>
  <si>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</si>
  <si>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</si>
  <si>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</si>
  <si>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</si>
  <si>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</si>
  <si>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</si>
  <si>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UAT Sign-off</t>
  </si>
  <si>
    <t xml:space="preserve">Halvorsen Freight · LMS Completions</t>
  </si>
  <si>
    <t xml:space="preserve">Criteria are formulas and update as the workbook is filled in. Sign only when every criterion reads ✓ Met.</t>
  </si>
  <si>
    <t xml:space="preserve">Criterion</t>
  </si>
  <si>
    <t xml:space="preserve">No failing pre-UAT checks</t>
  </si>
  <si>
    <t xml:space="preserve">Every Core test case passed</t>
  </si>
  <si>
    <t xml:space="preserve">Every Edge test case run, nothing blocked</t>
  </si>
  <si>
    <t xml:space="preserve">No open High-severity issues</t>
  </si>
  <si>
    <t xml:space="preserve">Every field mapping verified</t>
  </si>
  <si>
    <t xml:space="preserve">APPROVALS</t>
  </si>
  <si>
    <t xml:space="preserve">Name</t>
  </si>
  <si>
    <t xml:space="preserve">Role</t>
  </si>
  <si>
    <t xml:space="preserve">Signature</t>
  </si>
  <si>
    <t xml:space="preserve">Priya Natarajan</t>
  </si>
  <si>
    <t xml:space="preserve">LMS Administrator, Halvorsen Freight</t>
  </si>
  <si>
    <t xml:space="preserve">Integration Engineer</t>
  </si>
  <si>
    <t xml:space="preserve">AI Instructions</t>
  </si>
  <si>
    <t xml:space="preserve">For Claude (or any agent) maintaining this workbook. Humans can skip this tab.</t>
  </si>
  <si>
    <t xml:space="preserve">Topic</t>
  </si>
  <si>
    <t xml:space="preserve">Instruction</t>
  </si>
  <si>
    <t xml:space="preserve">Source of truth</t>
  </si>
  <si>
    <t xml:space="preserve">The workflow export and the signed requirements spec. Never invent fields, values or customer decisions.</t>
  </si>
  <si>
    <t xml:space="preserve">Regenerating</t>
  </si>
  <si>
    <t xml:space="preserve">When the workflow changes, re-run generate_uat.py with the new export. Check IDs are stable between runs. Carry over Actual result, Status, Tester, Date and Issue ID by matching on Scenario, not TC ID.</t>
  </si>
  <si>
    <t xml:space="preserve">Validation</t>
  </si>
  <si>
    <t xml:space="preserve">A ✗ FAIL on Pre-UAT Validation blocks customer testing. Summarise each FAIL in plain language with the fix, ordered by severity. ⚠ WARN and ℹ INFO items need a customer decision, not a silent fix.</t>
  </si>
  <si>
    <t xml:space="preserve">Test cases</t>
  </si>
  <si>
    <t xml:space="preserve">Add a case only when the workflow or spec introduces a behaviour not already covered. Each case needs a persona from Test Data, numbered steps and one observable expected result.</t>
  </si>
  <si>
    <t xml:space="preserve">All personas are fictional and live in the TEST tenant. Never copy production records into this workbook.</t>
  </si>
  <si>
    <t xml:space="preserve">Tone</t>
  </si>
  <si>
    <t xml:space="preserve">Customer-facing. Short sentences, no internal jargon, no blame. Name systems the way the customer does.</t>
  </si>
  <si>
    <t xml:space="preserve">Sign-off</t>
  </si>
  <si>
    <t xml:space="preserve">Do not type ✓ Met by hand. Criteria are formulas; fix the underlying data instead.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</si>
</sst>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A5B4FC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30"/>
      <color rgb="FF0F172A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sz val="12"/>
      <color rgb="FF4F46E5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10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b val="true"/>
      <sz val="9"/>
      <color rgb="FF8A5300"/>
      <name val="Arial"/>
      <family val="0"/>
      <charset val="1"/>
    </font>
    <font>
      <i val="true"/>
      <sz val="9"/>
      <color rgb="FF94A3B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4F46E5"/>
        <bgColor rgb="FF1D4ED8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FF8DB"/>
        <bgColor rgb="FFFFF1C2"/>
      </patternFill>
    </fill>
    <fill>
      <patternFill patternType="solid">
        <fgColor rgb="FFFDE3E1"/>
        <bgColor rgb="FFFFF1C2"/>
      </patternFill>
    </fill>
    <fill>
      <patternFill patternType="solid">
        <fgColor rgb="FFF1F5F9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F46E5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9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center" textRotation="0" wrapText="true" indent="1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5" fillId="6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5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9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21" fillId="8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1" fillId="8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FFFFFF"/>
        <sz val="15"/>
      </font>
      <fill>
        <patternFill>
          <bgColor rgb="FFD03B3B"/>
        </patternFill>
      </fill>
    </dxf>
    <dxf>
      <font>
        <name val="Arial"/>
        <charset val="1"/>
        <family val="0"/>
        <b val="1"/>
        <color rgb="FFFFFFFF"/>
        <sz val="15"/>
      </font>
      <fill>
        <patternFill>
          <bgColor rgb="FF0B7A0B"/>
        </patternFill>
      </fill>
    </dxf>
    <dxf>
      <font>
        <name val="Arial"/>
        <charset val="1"/>
        <family val="0"/>
        <b val="1"/>
        <color rgb="FFB42318"/>
        <sz val="30"/>
      </font>
    </dxf>
    <dxf>
      <font>
        <name val="Arial"/>
        <charset val="1"/>
        <family val="0"/>
        <b val="1"/>
        <color rgb="FF0B7A0B"/>
        <sz val="30"/>
      </font>
    </dxf>
    <dxf>
      <font>
        <name val="Arial"/>
        <charset val="1"/>
        <family val="0"/>
        <b val="1"/>
        <color rgb="FF0B7A0B"/>
      </font>
      <fill>
        <patternFill>
          <bgColor rgb="FFDCF5DC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3E1"/>
        </patternFill>
      </fill>
    </dxf>
    <dxf>
      <font>
        <name val="Arial"/>
        <charset val="1"/>
        <family val="0"/>
        <b val="1"/>
        <color rgb="FF8A5300"/>
      </font>
      <fill>
        <patternFill>
          <bgColor rgb="FFFFF1C2"/>
        </patternFill>
      </fill>
    </dxf>
    <dxf>
      <font>
        <name val="Arial"/>
        <charset val="1"/>
        <family val="0"/>
        <b val="1"/>
        <color rgb="FF1D4ED8"/>
      </font>
      <fill>
        <patternFill>
          <bgColor rgb="FFE0E9FF"/>
        </patternFill>
      </fill>
    </dxf>
    <dxf>
      <font>
        <name val="Arial"/>
        <charset val="1"/>
        <family val="0"/>
        <b val="1"/>
        <color rgb="FF64748B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4F46E5"/>
      </font>
      <fill>
        <patternFill>
          <bgColor rgb="FFEEF2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7A0B"/>
      <rgbColor rgb="FF000080"/>
      <rgbColor rgb="FF8A5300"/>
      <rgbColor rgb="FF800080"/>
      <rgbColor rgb="FF008080"/>
      <rgbColor rgb="FFE2E8F0"/>
      <rgbColor rgb="FF808080"/>
      <rgbColor rgb="FF9999FF"/>
      <rgbColor rgb="FFD03B3B"/>
      <rgbColor rgb="FFFFF8DB"/>
      <rgbColor rgb="FFE0E9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CF5DC"/>
      <rgbColor rgb="FFFFF1C2"/>
      <rgbColor rgb="FFA5B4FC"/>
      <rgbColor rgb="FFF1F5F9"/>
      <rgbColor rgb="FFF8FAFC"/>
      <rgbColor rgb="FFFDE3E1"/>
      <rgbColor rgb="FF4F46E5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42318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5"/>
    <col collapsed="false" customWidth="true" hidden="false" outlineLevel="0" max="10" min="10" style="1" width="3"/>
  </cols>
  <sheetData>
    <row r="1" customFormat="false" ht="24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39.75" hidden="false" customHeight="true" outlineLevel="0" collapsed="false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</row>
    <row r="4" customFormat="false" ht="4.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</row>
    <row r="6" customFormat="false" ht="25.5" hidden="false" customHeight="true" outlineLevel="0" collapsed="false">
      <c r="B6" s="7" t="str">
        <f aca="false">IF(COUNTIF('Pre-UAT Validation'!$E$7:$E$18,"✗ FAIL")&gt;0,"✗   NOT READY FOR CUSTOMER UAT   ·   "&amp;COUNTIF('Pre-UAT Validation'!$E$7:$E$18,"✗ FAIL")&amp;" blocking check"&amp;IF(COUNTIF('Pre-UAT Validation'!$E$7:$E$18,"✗ FAIL")=1,"","s"),IF(COUNTIF('Sign-off'!$B$7:$B$11,"✓ Met")=5,"✓   READY FOR SIGN-OFF   ·   every criterion met","▶   READY FOR CUSTOMER UAT   ·   "&amp;COUNTIF('Test Cases'!$I$7:$I$15,"○ Not run")&amp;" of "&amp;COUNTA('Test Cases'!$I$7:$I$15)&amp;" test cases to run"))</f>
        <v>✗   NOT READY FOR CUSTOMER UAT   ·   2 blocking checks</v>
      </c>
      <c r="C6" s="7"/>
      <c r="D6" s="7"/>
      <c r="E6" s="7"/>
      <c r="F6" s="7"/>
      <c r="G6" s="7"/>
      <c r="H6" s="7"/>
      <c r="I6" s="7"/>
    </row>
    <row r="7" customFormat="false" ht="25.5" hidden="false" customHeight="true" outlineLevel="0" collapsed="false">
      <c r="B7" s="7"/>
      <c r="C7" s="7"/>
      <c r="D7" s="7"/>
      <c r="E7" s="7"/>
      <c r="F7" s="7"/>
      <c r="G7" s="7"/>
      <c r="H7" s="7"/>
      <c r="I7" s="7"/>
    </row>
    <row r="9" customFormat="false" ht="4.5" hidden="false" customHeight="true" outlineLevel="0" collapsed="false">
      <c r="B9" s="8"/>
      <c r="C9" s="8"/>
      <c r="D9" s="6"/>
      <c r="E9" s="6"/>
      <c r="F9" s="6"/>
      <c r="G9" s="6"/>
      <c r="H9" s="6"/>
      <c r="I9" s="6"/>
    </row>
    <row r="10" customFormat="false" ht="21.75" hidden="false" customHeight="true" outlineLevel="0" collapsed="false">
      <c r="B10" s="9" t="s">
        <v>3</v>
      </c>
      <c r="C10" s="9"/>
      <c r="D10" s="9" t="s">
        <v>4</v>
      </c>
      <c r="E10" s="9"/>
      <c r="F10" s="9" t="s">
        <v>5</v>
      </c>
      <c r="G10" s="9"/>
      <c r="H10" s="9" t="s">
        <v>6</v>
      </c>
      <c r="I10" s="9"/>
    </row>
    <row r="11" customFormat="false" ht="45.75" hidden="false" customHeight="true" outlineLevel="0" collapsed="false">
      <c r="B11" s="10" t="n">
        <f aca="false">COUNTIF('Pre-UAT Validation'!$E$7:$E$18,"✗ FAIL")</f>
        <v>2</v>
      </c>
      <c r="C11" s="10"/>
      <c r="D11" s="10" t="n">
        <f aca="false">COUNTA('Test Cases'!$I$7:$I$15)</f>
        <v>9</v>
      </c>
      <c r="E11" s="10"/>
      <c r="F11" s="10" t="n">
        <f aca="false">COUNTIF('Test Cases'!$I$7:$I$15,"✓ Pass")</f>
        <v>0</v>
      </c>
      <c r="G11" s="10"/>
      <c r="H11" s="10" t="n">
        <f aca="false">COUNTIF('Issue Log'!$G$8:$G$200,"Open")</f>
        <v>0</v>
      </c>
      <c r="I11" s="10"/>
    </row>
    <row r="12" customFormat="false" ht="21.75" hidden="false" customHeight="true" outlineLevel="0" collapsed="false">
      <c r="B12" s="11" t="str">
        <f aca="false">"must be 0 before UAT starts"</f>
        <v>must be 0 before UAT starts</v>
      </c>
      <c r="C12" s="11"/>
      <c r="D12" s="11" t="str">
        <f aca="false">COUNTIF('Test Cases'!$C$7:$C$15,"Core")&amp;" core  ·  "&amp;COUNTIF('Test Cases'!$C$7:$C$15,"Edge")&amp;" edge"</f>
        <v>3 core  ·  6 edge</v>
      </c>
      <c r="E12" s="11"/>
      <c r="F12" s="11" t="str">
        <f aca="false">COUNTIF('Test Cases'!$I$7:$I$15,"✗ Fail")&amp;" failed  ·  "&amp;COUNTIF('Test Cases'!$I$7:$I$15,"⚠ Blocked")&amp;" blocked"</f>
        <v>0 failed  ·  0 blocked</v>
      </c>
      <c r="G12" s="11"/>
      <c r="H12" s="11" t="str">
        <f aca="false">"on the Issue Log"</f>
        <v>on the Issue Log</v>
      </c>
      <c r="I12" s="11"/>
    </row>
    <row r="14" customFormat="false" ht="21.75" hidden="false" customHeight="true" outlineLevel="0" collapsed="false">
      <c r="B14" s="12" t="s">
        <v>7</v>
      </c>
      <c r="C14" s="13"/>
      <c r="D14" s="13"/>
      <c r="E14" s="13"/>
      <c r="F14" s="13"/>
      <c r="G14" s="13"/>
      <c r="H14" s="13"/>
      <c r="I14" s="13"/>
    </row>
    <row r="15" customFormat="false" ht="25.5" hidden="false" customHeight="true" outlineLevel="0" collapsed="false">
      <c r="B15" s="14" t="str">
        <f aca="false">IF(COUNTA('Test Cases'!$I$7:$I$15)=0,"",REPT("█",ROUND((COUNTA('Test Cases'!$I$7:$I$15)-COUNTIF('Test Cases'!$I$7:$I$15,"○ Not run"))/COUNTA('Test Cases'!$I$7:$I$15)*60,0))&amp;REPT("░",60-ROUND((COUNTA('Test Cases'!$I$7:$I$15)-COUNTIF('Test Cases'!$I$7:$I$15,"○ Not run"))/COUNTA('Test Cases'!$I$7:$I$15)*60,0)))</f>
        <v>░░░░░░░░░░░░░░░░░░░░░░░░░░░░░░░░░░░░░░░░░░░░░░░░░░░░░░░░░░░░</v>
      </c>
      <c r="C15" s="14"/>
      <c r="D15" s="14"/>
      <c r="E15" s="14"/>
      <c r="F15" s="14"/>
      <c r="G15" s="14"/>
      <c r="H15" s="14"/>
      <c r="I15" s="15" t="str">
        <f aca="false">IF(COUNTA('Test Cases'!$I$7:$I$15)=0,"",TEXT((COUNTA('Test Cases'!$I$7:$I$15)-COUNTIF('Test Cases'!$I$7:$I$15,"○ Not run"))/COUNTA('Test Cases'!$I$7:$I$15),"0%")&amp;" run")</f>
        <v>0% run</v>
      </c>
    </row>
    <row r="16" customFormat="false" ht="15" hidden="false" customHeight="false" outlineLevel="0" collapsed="false">
      <c r="B16" s="16" t="str">
        <f aca="false">"✓ "&amp;COUNTIF('Test Cases'!$I$7:$I$15,"✓ Pass")&amp;" passed     ✗ "&amp;COUNTIF('Test Cases'!$I$7:$I$15,"✗ Fail")&amp;" failed     ⚠ "&amp;COUNTIF('Test Cases'!$I$7:$I$15,"⚠ Blocked")&amp;" blocked     ○ "&amp;COUNTIF('Test Cases'!$I$7:$I$15,"○ Not run")&amp;" not run"</f>
        <v>✓ 0 passed     ✗ 0 failed     ⚠ 0 blocked     ○ 9 not run</v>
      </c>
      <c r="C16" s="16"/>
      <c r="D16" s="16"/>
      <c r="E16" s="16"/>
      <c r="F16" s="16"/>
      <c r="G16" s="16"/>
      <c r="H16" s="16"/>
      <c r="I16" s="16"/>
    </row>
    <row r="18" customFormat="false" ht="21.75" hidden="false" customHeight="true" outlineLevel="0" collapsed="false">
      <c r="B18" s="12" t="s">
        <v>8</v>
      </c>
      <c r="C18" s="13"/>
      <c r="D18" s="13"/>
      <c r="E18" s="13"/>
      <c r="F18" s="13"/>
      <c r="G18" s="13"/>
      <c r="H18" s="13"/>
      <c r="I18" s="13"/>
    </row>
    <row r="19" customFormat="false" ht="6" hidden="false" customHeight="true" outlineLevel="0" collapsed="false"/>
    <row r="20" customFormat="false" ht="19.5" hidden="false" customHeight="true" outlineLevel="0" collapsed="false">
      <c r="B20" s="17" t="s">
        <v>9</v>
      </c>
      <c r="C20" s="17"/>
      <c r="D20" s="18" t="s">
        <v>10</v>
      </c>
      <c r="E20" s="18"/>
      <c r="F20" s="18"/>
      <c r="G20" s="18"/>
      <c r="H20" s="18"/>
      <c r="I20" s="18"/>
    </row>
    <row r="21" customFormat="false" ht="19.5" hidden="false" customHeight="true" outlineLevel="0" collapsed="false">
      <c r="B21" s="17" t="s">
        <v>11</v>
      </c>
      <c r="C21" s="17"/>
      <c r="D21" s="18" t="s">
        <v>12</v>
      </c>
      <c r="E21" s="18"/>
      <c r="F21" s="18"/>
      <c r="G21" s="18"/>
      <c r="H21" s="18"/>
      <c r="I21" s="18"/>
    </row>
    <row r="22" customFormat="false" ht="19.5" hidden="false" customHeight="true" outlineLevel="0" collapsed="false">
      <c r="B22" s="17" t="s">
        <v>13</v>
      </c>
      <c r="C22" s="17"/>
      <c r="D22" s="18" t="s">
        <v>14</v>
      </c>
      <c r="E22" s="18"/>
      <c r="F22" s="18"/>
      <c r="G22" s="18"/>
      <c r="H22" s="18"/>
      <c r="I22" s="18"/>
    </row>
    <row r="23" customFormat="false" ht="19.5" hidden="false" customHeight="true" outlineLevel="0" collapsed="false">
      <c r="B23" s="17" t="s">
        <v>15</v>
      </c>
      <c r="C23" s="17"/>
      <c r="D23" s="18" t="s">
        <v>16</v>
      </c>
      <c r="E23" s="18"/>
      <c r="F23" s="18"/>
      <c r="G23" s="18"/>
      <c r="H23" s="18"/>
      <c r="I23" s="18"/>
    </row>
    <row r="24" customFormat="false" ht="19.5" hidden="false" customHeight="true" outlineLevel="0" collapsed="false">
      <c r="B24" s="17" t="s">
        <v>17</v>
      </c>
      <c r="C24" s="17"/>
      <c r="D24" s="18" t="s">
        <v>18</v>
      </c>
      <c r="E24" s="18"/>
      <c r="F24" s="18"/>
      <c r="G24" s="18"/>
      <c r="H24" s="18"/>
      <c r="I24" s="18"/>
    </row>
    <row r="26" customFormat="false" ht="21.75" hidden="false" customHeight="true" outlineLevel="0" collapsed="false">
      <c r="B26" s="12" t="s">
        <v>19</v>
      </c>
      <c r="C26" s="13"/>
      <c r="D26" s="13"/>
      <c r="E26" s="13"/>
      <c r="F26" s="13"/>
      <c r="G26" s="13"/>
      <c r="H26" s="13"/>
      <c r="I26" s="13"/>
    </row>
    <row r="27" customFormat="false" ht="6" hidden="false" customHeight="true" outlineLevel="0" collapsed="false"/>
    <row r="28" customFormat="false" ht="19.5" hidden="false" customHeight="true" outlineLevel="0" collapsed="false">
      <c r="B28" s="19" t="s">
        <v>20</v>
      </c>
      <c r="C28" s="19"/>
      <c r="D28" s="20" t="s">
        <v>21</v>
      </c>
      <c r="E28" s="20"/>
      <c r="F28" s="20"/>
      <c r="G28" s="20"/>
      <c r="H28" s="20"/>
      <c r="I28" s="20"/>
    </row>
    <row r="29" customFormat="false" ht="19.5" hidden="false" customHeight="true" outlineLevel="0" collapsed="false">
      <c r="B29" s="19" t="s">
        <v>22</v>
      </c>
      <c r="C29" s="19"/>
      <c r="D29" s="20" t="s">
        <v>23</v>
      </c>
      <c r="E29" s="20"/>
      <c r="F29" s="20"/>
      <c r="G29" s="20"/>
      <c r="H29" s="20"/>
      <c r="I29" s="20"/>
    </row>
    <row r="30" customFormat="false" ht="19.5" hidden="false" customHeight="true" outlineLevel="0" collapsed="false">
      <c r="B30" s="19" t="s">
        <v>24</v>
      </c>
      <c r="C30" s="19"/>
      <c r="D30" s="20" t="s">
        <v>25</v>
      </c>
      <c r="E30" s="20"/>
      <c r="F30" s="20"/>
      <c r="G30" s="20"/>
      <c r="H30" s="20"/>
      <c r="I30" s="20"/>
    </row>
    <row r="31" customFormat="false" ht="19.5" hidden="false" customHeight="true" outlineLevel="0" collapsed="false">
      <c r="B31" s="19" t="s">
        <v>26</v>
      </c>
      <c r="C31" s="19"/>
      <c r="D31" s="20" t="s">
        <v>27</v>
      </c>
      <c r="E31" s="20"/>
      <c r="F31" s="20"/>
      <c r="G31" s="20"/>
      <c r="H31" s="20"/>
      <c r="I31" s="20"/>
    </row>
    <row r="32" customFormat="false" ht="19.5" hidden="false" customHeight="true" outlineLevel="0" collapsed="false">
      <c r="B32" s="19" t="s">
        <v>28</v>
      </c>
      <c r="C32" s="19"/>
      <c r="D32" s="20" t="s">
        <v>29</v>
      </c>
      <c r="E32" s="20"/>
      <c r="F32" s="20"/>
      <c r="G32" s="20"/>
      <c r="H32" s="20"/>
      <c r="I32" s="20"/>
    </row>
    <row r="34" customFormat="false" ht="15" hidden="false" customHeight="false" outlineLevel="0" collapsed="false">
      <c r="B34" s="21" t="s">
        <v>30</v>
      </c>
    </row>
  </sheetData>
  <mergeCells count="35">
    <mergeCell ref="B6:I7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5:H15"/>
    <mergeCell ref="B16:I16"/>
    <mergeCell ref="B20:C20"/>
    <mergeCell ref="D20:I20"/>
    <mergeCell ref="B21:C21"/>
    <mergeCell ref="D21:I21"/>
    <mergeCell ref="B22:C22"/>
    <mergeCell ref="D22:I22"/>
    <mergeCell ref="B23:C23"/>
    <mergeCell ref="D23:I23"/>
    <mergeCell ref="B24:C24"/>
    <mergeCell ref="D24:I24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</mergeCells>
  <conditionalFormatting sqref="B6:I7">
    <cfRule type="expression" priority="2" aboveAverage="0" equalAverage="0" bottom="0" percent="0" rank="0" text="" dxfId="0">
      <formula>COUNTIF('Pre-UAT Validation'!$E$7:$E$18,"✗ FAIL")&gt;0</formula>
    </cfRule>
    <cfRule type="expression" priority="3" aboveAverage="0" equalAverage="0" bottom="0" percent="0" rank="0" text="" dxfId="1">
      <formula>COUNTIF('Sign-off'!$B$7:$B$11,"✓ Met")=5</formula>
    </cfRule>
  </conditionalFormatting>
  <conditionalFormatting sqref="B11:C11">
    <cfRule type="cellIs" priority="4" operator="greaterThan" aboveAverage="0" equalAverage="0" bottom="0" percent="0" rank="0" text="" dxfId="2">
      <formula>0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2318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3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2"/>
    <col collapsed="false" customWidth="true" hidden="false" outlineLevel="0" max="8" min="8" style="1" width="30"/>
  </cols>
  <sheetData>
    <row r="1" customFormat="false" ht="33.75" hidden="false" customHeight="true" outlineLevel="0" collapsed="false">
      <c r="A1" s="22" t="s">
        <v>31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3" t="s">
        <v>32</v>
      </c>
      <c r="B2" s="2"/>
      <c r="C2" s="2"/>
      <c r="D2" s="2"/>
      <c r="E2" s="2"/>
      <c r="F2" s="2"/>
      <c r="G2" s="2"/>
      <c r="H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4" t="s">
        <v>33</v>
      </c>
    </row>
    <row r="6" customFormat="false" ht="25.5" hidden="false" customHeight="true" outlineLevel="0" collapsed="false">
      <c r="A6" s="25" t="s">
        <v>34</v>
      </c>
      <c r="B6" s="25" t="s">
        <v>35</v>
      </c>
      <c r="C6" s="25" t="s">
        <v>36</v>
      </c>
      <c r="D6" s="25" t="s">
        <v>37</v>
      </c>
      <c r="E6" s="25" t="s">
        <v>38</v>
      </c>
      <c r="F6" s="25" t="s">
        <v>39</v>
      </c>
      <c r="G6" s="25" t="s">
        <v>40</v>
      </c>
      <c r="H6" s="25" t="s">
        <v>41</v>
      </c>
    </row>
    <row r="7" customFormat="false" ht="33.75" hidden="false" customHeight="true" outlineLevel="0" collapsed="false">
      <c r="A7" s="26" t="s">
        <v>42</v>
      </c>
      <c r="B7" s="27" t="s">
        <v>43</v>
      </c>
      <c r="C7" s="27" t="s">
        <v>44</v>
      </c>
      <c r="D7" s="27" t="s">
        <v>45</v>
      </c>
      <c r="E7" s="26" t="s">
        <v>46</v>
      </c>
      <c r="F7" s="26" t="s">
        <v>47</v>
      </c>
      <c r="G7" s="27" t="s">
        <v>48</v>
      </c>
      <c r="H7" s="28"/>
    </row>
    <row r="8" customFormat="false" ht="33.75" hidden="false" customHeight="true" outlineLevel="0" collapsed="false">
      <c r="A8" s="29" t="s">
        <v>49</v>
      </c>
      <c r="B8" s="30" t="s">
        <v>50</v>
      </c>
      <c r="C8" s="30" t="s">
        <v>51</v>
      </c>
      <c r="D8" s="30" t="s">
        <v>52</v>
      </c>
      <c r="E8" s="29" t="s">
        <v>46</v>
      </c>
      <c r="F8" s="29" t="s">
        <v>47</v>
      </c>
      <c r="G8" s="30" t="s">
        <v>53</v>
      </c>
      <c r="H8" s="28"/>
    </row>
    <row r="9" customFormat="false" ht="20.25" hidden="false" customHeight="true" outlineLevel="0" collapsed="false">
      <c r="A9" s="26" t="s">
        <v>54</v>
      </c>
      <c r="B9" s="27" t="s">
        <v>55</v>
      </c>
      <c r="C9" s="27" t="s">
        <v>56</v>
      </c>
      <c r="D9" s="27" t="s">
        <v>57</v>
      </c>
      <c r="E9" s="26" t="s">
        <v>58</v>
      </c>
      <c r="F9" s="26" t="s">
        <v>59</v>
      </c>
      <c r="G9" s="27" t="s">
        <v>59</v>
      </c>
      <c r="H9" s="28"/>
    </row>
    <row r="10" customFormat="false" ht="33.75" hidden="false" customHeight="true" outlineLevel="0" collapsed="false">
      <c r="A10" s="29" t="s">
        <v>60</v>
      </c>
      <c r="B10" s="30" t="s">
        <v>61</v>
      </c>
      <c r="C10" s="30" t="s">
        <v>62</v>
      </c>
      <c r="D10" s="30" t="s">
        <v>63</v>
      </c>
      <c r="E10" s="29" t="s">
        <v>58</v>
      </c>
      <c r="F10" s="29" t="s">
        <v>59</v>
      </c>
      <c r="G10" s="30" t="s">
        <v>59</v>
      </c>
      <c r="H10" s="28"/>
    </row>
    <row r="11" customFormat="false" ht="20.25" hidden="false" customHeight="true" outlineLevel="0" collapsed="false">
      <c r="A11" s="26" t="s">
        <v>64</v>
      </c>
      <c r="B11" s="27" t="s">
        <v>65</v>
      </c>
      <c r="C11" s="27" t="s">
        <v>66</v>
      </c>
      <c r="D11" s="27" t="s">
        <v>66</v>
      </c>
      <c r="E11" s="26" t="s">
        <v>58</v>
      </c>
      <c r="F11" s="26" t="s">
        <v>59</v>
      </c>
      <c r="G11" s="27" t="s">
        <v>59</v>
      </c>
      <c r="H11" s="28"/>
    </row>
    <row r="12" customFormat="false" ht="20.25" hidden="false" customHeight="true" outlineLevel="0" collapsed="false">
      <c r="A12" s="29" t="s">
        <v>67</v>
      </c>
      <c r="B12" s="30" t="s">
        <v>65</v>
      </c>
      <c r="C12" s="30" t="s">
        <v>68</v>
      </c>
      <c r="D12" s="30" t="s">
        <v>68</v>
      </c>
      <c r="E12" s="29" t="s">
        <v>58</v>
      </c>
      <c r="F12" s="29" t="s">
        <v>59</v>
      </c>
      <c r="G12" s="30" t="s">
        <v>59</v>
      </c>
      <c r="H12" s="28"/>
    </row>
    <row r="13" customFormat="false" ht="20.25" hidden="false" customHeight="true" outlineLevel="0" collapsed="false">
      <c r="A13" s="26" t="s">
        <v>69</v>
      </c>
      <c r="B13" s="27" t="s">
        <v>65</v>
      </c>
      <c r="C13" s="27" t="s">
        <v>70</v>
      </c>
      <c r="D13" s="27" t="s">
        <v>70</v>
      </c>
      <c r="E13" s="26" t="s">
        <v>58</v>
      </c>
      <c r="F13" s="26" t="s">
        <v>59</v>
      </c>
      <c r="G13" s="27" t="s">
        <v>59</v>
      </c>
      <c r="H13" s="28"/>
    </row>
    <row r="14" customFormat="false" ht="20.25" hidden="false" customHeight="true" outlineLevel="0" collapsed="false">
      <c r="A14" s="29" t="s">
        <v>71</v>
      </c>
      <c r="B14" s="30" t="s">
        <v>65</v>
      </c>
      <c r="C14" s="30" t="s">
        <v>72</v>
      </c>
      <c r="D14" s="30" t="s">
        <v>72</v>
      </c>
      <c r="E14" s="29" t="s">
        <v>58</v>
      </c>
      <c r="F14" s="29" t="s">
        <v>59</v>
      </c>
      <c r="G14" s="30" t="s">
        <v>59</v>
      </c>
      <c r="H14" s="28"/>
    </row>
    <row r="15" customFormat="false" ht="20.25" hidden="false" customHeight="true" outlineLevel="0" collapsed="false">
      <c r="A15" s="26" t="s">
        <v>73</v>
      </c>
      <c r="B15" s="27" t="s">
        <v>65</v>
      </c>
      <c r="C15" s="27" t="s">
        <v>74</v>
      </c>
      <c r="D15" s="27" t="s">
        <v>74</v>
      </c>
      <c r="E15" s="26" t="s">
        <v>58</v>
      </c>
      <c r="F15" s="26" t="s">
        <v>59</v>
      </c>
      <c r="G15" s="27" t="s">
        <v>59</v>
      </c>
      <c r="H15" s="28"/>
    </row>
    <row r="16" customFormat="false" ht="20.25" hidden="false" customHeight="true" outlineLevel="0" collapsed="false">
      <c r="A16" s="29" t="s">
        <v>75</v>
      </c>
      <c r="B16" s="30" t="s">
        <v>65</v>
      </c>
      <c r="C16" s="30" t="s">
        <v>76</v>
      </c>
      <c r="D16" s="30" t="s">
        <v>76</v>
      </c>
      <c r="E16" s="29" t="s">
        <v>58</v>
      </c>
      <c r="F16" s="29" t="s">
        <v>59</v>
      </c>
      <c r="G16" s="30" t="s">
        <v>59</v>
      </c>
      <c r="H16" s="28"/>
    </row>
    <row r="17" customFormat="false" ht="20.25" hidden="false" customHeight="true" outlineLevel="0" collapsed="false">
      <c r="A17" s="26" t="s">
        <v>77</v>
      </c>
      <c r="B17" s="27" t="s">
        <v>78</v>
      </c>
      <c r="C17" s="27" t="s">
        <v>79</v>
      </c>
      <c r="D17" s="27" t="s">
        <v>79</v>
      </c>
      <c r="E17" s="26" t="s">
        <v>58</v>
      </c>
      <c r="F17" s="26" t="s">
        <v>59</v>
      </c>
      <c r="G17" s="27" t="s">
        <v>59</v>
      </c>
      <c r="H17" s="28"/>
    </row>
    <row r="18" customFormat="false" ht="20.25" hidden="false" customHeight="true" outlineLevel="0" collapsed="false">
      <c r="A18" s="29" t="s">
        <v>80</v>
      </c>
      <c r="B18" s="30" t="s">
        <v>81</v>
      </c>
      <c r="C18" s="30" t="s">
        <v>82</v>
      </c>
      <c r="D18" s="30" t="s">
        <v>82</v>
      </c>
      <c r="E18" s="29" t="s">
        <v>58</v>
      </c>
      <c r="F18" s="29" t="s">
        <v>59</v>
      </c>
      <c r="G18" s="30" t="s">
        <v>59</v>
      </c>
      <c r="H18" s="28"/>
    </row>
  </sheetData>
  <conditionalFormatting sqref="E7:E18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conditionalFormatting sqref="F7:F18">
    <cfRule type="cellIs" priority="14" operator="equal" aboveAverage="0" equalAverage="0" bottom="0" percent="0" rank="0" text="" dxfId="9">
      <formula>"High"</formula>
    </cfRule>
  </conditionalFormatting>
  <dataValidations count="1">
    <dataValidation allowBlank="true" errorStyle="stop" operator="between" showDropDown="false" showErrorMessage="false" showInputMessage="false" sqref="E7:E18" type="list">
      <formula1>"✓ PASS,✗ FAIL,⚠ WARN,ℹ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8" min="7" style="1" width="14"/>
    <col collapsed="false" customWidth="true" hidden="false" outlineLevel="0" max="9" min="9" style="1" width="28"/>
  </cols>
  <sheetData>
    <row r="1" customFormat="false" ht="33.75" hidden="false" customHeight="true" outlineLevel="0" collapsed="false">
      <c r="A1" s="22" t="s">
        <v>83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23" t="s">
        <v>84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4" t="s">
        <v>85</v>
      </c>
    </row>
    <row r="6" customFormat="false" ht="25.5" hidden="false" customHeight="true" outlineLevel="0" collapsed="false">
      <c r="A6" s="25" t="s">
        <v>86</v>
      </c>
      <c r="B6" s="25" t="s">
        <v>87</v>
      </c>
      <c r="C6" s="25" t="s">
        <v>88</v>
      </c>
      <c r="D6" s="25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</row>
    <row r="7" customFormat="false" ht="20.25" hidden="false" customHeight="true" outlineLevel="0" collapsed="false">
      <c r="A7" s="26" t="n">
        <v>1</v>
      </c>
      <c r="B7" s="27" t="s">
        <v>95</v>
      </c>
      <c r="C7" s="27" t="s">
        <v>96</v>
      </c>
      <c r="D7" s="27" t="s">
        <v>95</v>
      </c>
      <c r="E7" s="27" t="s">
        <v>59</v>
      </c>
      <c r="F7" s="27" t="s">
        <v>97</v>
      </c>
      <c r="G7" s="26"/>
      <c r="H7" s="28"/>
      <c r="I7" s="28"/>
    </row>
    <row r="8" customFormat="false" ht="20.25" hidden="false" customHeight="true" outlineLevel="0" collapsed="false">
      <c r="A8" s="29" t="n">
        <v>2</v>
      </c>
      <c r="B8" s="30" t="s">
        <v>98</v>
      </c>
      <c r="C8" s="30" t="s">
        <v>99</v>
      </c>
      <c r="D8" s="30" t="s">
        <v>98</v>
      </c>
      <c r="E8" s="30" t="s">
        <v>59</v>
      </c>
      <c r="F8" s="30" t="s">
        <v>100</v>
      </c>
      <c r="G8" s="29"/>
      <c r="H8" s="28"/>
      <c r="I8" s="28"/>
    </row>
    <row r="9" customFormat="false" ht="20.25" hidden="false" customHeight="true" outlineLevel="0" collapsed="false">
      <c r="A9" s="26" t="n">
        <v>3</v>
      </c>
      <c r="B9" s="27" t="s">
        <v>101</v>
      </c>
      <c r="C9" s="27" t="s">
        <v>102</v>
      </c>
      <c r="D9" s="27" t="s">
        <v>101</v>
      </c>
      <c r="E9" s="27" t="s">
        <v>103</v>
      </c>
      <c r="F9" s="27" t="s">
        <v>104</v>
      </c>
      <c r="G9" s="26"/>
      <c r="H9" s="28"/>
      <c r="I9" s="28"/>
    </row>
    <row r="10" customFormat="false" ht="20.25" hidden="false" customHeight="true" outlineLevel="0" collapsed="false">
      <c r="A10" s="29" t="n">
        <v>4</v>
      </c>
      <c r="B10" s="30" t="s">
        <v>105</v>
      </c>
      <c r="C10" s="30" t="s">
        <v>106</v>
      </c>
      <c r="D10" s="30" t="s">
        <v>105</v>
      </c>
      <c r="E10" s="30" t="s">
        <v>107</v>
      </c>
      <c r="F10" s="30" t="s">
        <v>108</v>
      </c>
      <c r="G10" s="31" t="s">
        <v>109</v>
      </c>
      <c r="H10" s="28"/>
      <c r="I10" s="28"/>
    </row>
    <row r="11" customFormat="false" ht="20.25" hidden="false" customHeight="true" outlineLevel="0" collapsed="false">
      <c r="A11" s="26" t="n">
        <v>5</v>
      </c>
      <c r="B11" s="27" t="s">
        <v>110</v>
      </c>
      <c r="C11" s="27" t="s">
        <v>111</v>
      </c>
      <c r="D11" s="27" t="s">
        <v>110</v>
      </c>
      <c r="E11" s="27" t="s">
        <v>112</v>
      </c>
      <c r="F11" s="27" t="s">
        <v>113</v>
      </c>
      <c r="G11" s="26"/>
      <c r="H11" s="28"/>
      <c r="I11" s="28"/>
    </row>
    <row r="12" customFormat="false" ht="20.25" hidden="false" customHeight="true" outlineLevel="0" collapsed="false">
      <c r="A12" s="29" t="n">
        <v>6</v>
      </c>
      <c r="B12" s="30" t="s">
        <v>114</v>
      </c>
      <c r="C12" s="30" t="s">
        <v>115</v>
      </c>
      <c r="D12" s="30" t="s">
        <v>114</v>
      </c>
      <c r="E12" s="30" t="s">
        <v>59</v>
      </c>
      <c r="F12" s="30" t="s">
        <v>116</v>
      </c>
      <c r="G12" s="29"/>
      <c r="H12" s="28"/>
      <c r="I12" s="28"/>
    </row>
  </sheetData>
  <conditionalFormatting sqref="H7:H12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dataValidations count="1">
    <dataValidation allowBlank="true" errorStyle="stop" operator="between" showDropDown="false" showErrorMessage="false" showInputMessage="false" sqref="H7:H12" type="list">
      <formula1>"✓ Verified,✗ Mismatch,N/A"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44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8"/>
  </cols>
  <sheetData>
    <row r="1" customFormat="false" ht="33.75" hidden="false" customHeight="true" outlineLevel="0" collapsed="false">
      <c r="A1" s="2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23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" hidden="false" customHeight="false" outlineLevel="0" collapsed="false">
      <c r="A4" s="24" t="s">
        <v>119</v>
      </c>
    </row>
    <row r="6" customFormat="false" ht="25.5" hidden="false" customHeight="true" outlineLevel="0" collapsed="false">
      <c r="A6" s="25" t="s">
        <v>120</v>
      </c>
      <c r="B6" s="25" t="s">
        <v>121</v>
      </c>
      <c r="C6" s="25" t="s">
        <v>122</v>
      </c>
      <c r="D6" s="25" t="s">
        <v>123</v>
      </c>
      <c r="E6" s="25" t="s">
        <v>124</v>
      </c>
      <c r="F6" s="25" t="s">
        <v>125</v>
      </c>
      <c r="G6" s="25" t="s">
        <v>126</v>
      </c>
      <c r="H6" s="25" t="s">
        <v>127</v>
      </c>
      <c r="I6" s="25" t="s">
        <v>128</v>
      </c>
      <c r="J6" s="25" t="s">
        <v>129</v>
      </c>
      <c r="K6" s="25" t="s">
        <v>130</v>
      </c>
      <c r="L6" s="25" t="s">
        <v>131</v>
      </c>
      <c r="M6" s="25" t="s">
        <v>132</v>
      </c>
    </row>
    <row r="7" customFormat="false" ht="60.75" hidden="false" customHeight="true" outlineLevel="0" collapsed="false">
      <c r="A7" s="26" t="s">
        <v>133</v>
      </c>
      <c r="B7" s="27" t="s">
        <v>134</v>
      </c>
      <c r="C7" s="26" t="s">
        <v>135</v>
      </c>
      <c r="D7" s="26" t="s">
        <v>136</v>
      </c>
      <c r="E7" s="27" t="s">
        <v>137</v>
      </c>
      <c r="F7" s="27" t="s">
        <v>138</v>
      </c>
      <c r="G7" s="27" t="s">
        <v>139</v>
      </c>
      <c r="H7" s="28"/>
      <c r="I7" s="32" t="s">
        <v>140</v>
      </c>
      <c r="J7" s="28"/>
      <c r="K7" s="28"/>
      <c r="L7" s="28"/>
      <c r="M7" s="27"/>
    </row>
    <row r="8" customFormat="false" ht="33.75" hidden="false" customHeight="true" outlineLevel="0" collapsed="false">
      <c r="A8" s="29" t="s">
        <v>141</v>
      </c>
      <c r="B8" s="30" t="s">
        <v>142</v>
      </c>
      <c r="C8" s="29" t="s">
        <v>135</v>
      </c>
      <c r="D8" s="29" t="s">
        <v>136</v>
      </c>
      <c r="E8" s="30" t="s">
        <v>143</v>
      </c>
      <c r="F8" s="30" t="s">
        <v>144</v>
      </c>
      <c r="G8" s="30" t="s">
        <v>145</v>
      </c>
      <c r="H8" s="28"/>
      <c r="I8" s="32" t="s">
        <v>140</v>
      </c>
      <c r="J8" s="28"/>
      <c r="K8" s="28"/>
      <c r="L8" s="28"/>
      <c r="M8" s="33" t="s">
        <v>146</v>
      </c>
    </row>
    <row r="9" customFormat="false" ht="60.75" hidden="false" customHeight="true" outlineLevel="0" collapsed="false">
      <c r="A9" s="26" t="s">
        <v>147</v>
      </c>
      <c r="B9" s="27" t="s">
        <v>148</v>
      </c>
      <c r="C9" s="26" t="s">
        <v>149</v>
      </c>
      <c r="D9" s="26" t="s">
        <v>150</v>
      </c>
      <c r="E9" s="27" t="s">
        <v>151</v>
      </c>
      <c r="F9" s="27" t="s">
        <v>152</v>
      </c>
      <c r="G9" s="27" t="s">
        <v>153</v>
      </c>
      <c r="H9" s="28"/>
      <c r="I9" s="32" t="s">
        <v>140</v>
      </c>
      <c r="J9" s="28"/>
      <c r="K9" s="28"/>
      <c r="L9" s="28"/>
      <c r="M9" s="34" t="s">
        <v>146</v>
      </c>
    </row>
    <row r="10" customFormat="false" ht="47.25" hidden="false" customHeight="true" outlineLevel="0" collapsed="false">
      <c r="A10" s="29" t="s">
        <v>154</v>
      </c>
      <c r="B10" s="30" t="s">
        <v>155</v>
      </c>
      <c r="C10" s="29" t="s">
        <v>149</v>
      </c>
      <c r="D10" s="29" t="s">
        <v>156</v>
      </c>
      <c r="E10" s="30" t="s">
        <v>157</v>
      </c>
      <c r="F10" s="30" t="s">
        <v>158</v>
      </c>
      <c r="G10" s="30" t="s">
        <v>159</v>
      </c>
      <c r="H10" s="28"/>
      <c r="I10" s="32" t="s">
        <v>140</v>
      </c>
      <c r="J10" s="28"/>
      <c r="K10" s="28"/>
      <c r="L10" s="28"/>
      <c r="M10" s="30"/>
    </row>
    <row r="11" customFormat="false" ht="60.75" hidden="false" customHeight="true" outlineLevel="0" collapsed="false">
      <c r="A11" s="26" t="s">
        <v>160</v>
      </c>
      <c r="B11" s="27" t="s">
        <v>161</v>
      </c>
      <c r="C11" s="26" t="s">
        <v>149</v>
      </c>
      <c r="D11" s="26" t="s">
        <v>162</v>
      </c>
      <c r="E11" s="27" t="s">
        <v>163</v>
      </c>
      <c r="F11" s="27" t="s">
        <v>164</v>
      </c>
      <c r="G11" s="27" t="s">
        <v>165</v>
      </c>
      <c r="H11" s="28"/>
      <c r="I11" s="32" t="s">
        <v>140</v>
      </c>
      <c r="J11" s="28"/>
      <c r="K11" s="28"/>
      <c r="L11" s="28"/>
      <c r="M11" s="27"/>
    </row>
    <row r="12" customFormat="false" ht="33.75" hidden="false" customHeight="true" outlineLevel="0" collapsed="false">
      <c r="A12" s="29" t="s">
        <v>166</v>
      </c>
      <c r="B12" s="30" t="s">
        <v>167</v>
      </c>
      <c r="C12" s="29" t="s">
        <v>149</v>
      </c>
      <c r="D12" s="29" t="s">
        <v>168</v>
      </c>
      <c r="E12" s="30" t="s">
        <v>169</v>
      </c>
      <c r="F12" s="30" t="s">
        <v>170</v>
      </c>
      <c r="G12" s="30" t="s">
        <v>171</v>
      </c>
      <c r="H12" s="28"/>
      <c r="I12" s="32" t="s">
        <v>140</v>
      </c>
      <c r="J12" s="28"/>
      <c r="K12" s="28"/>
      <c r="L12" s="28"/>
      <c r="M12" s="30"/>
    </row>
    <row r="13" customFormat="false" ht="47.25" hidden="false" customHeight="true" outlineLevel="0" collapsed="false">
      <c r="A13" s="26" t="s">
        <v>172</v>
      </c>
      <c r="B13" s="27" t="s">
        <v>173</v>
      </c>
      <c r="C13" s="26" t="s">
        <v>149</v>
      </c>
      <c r="D13" s="26" t="s">
        <v>174</v>
      </c>
      <c r="E13" s="27" t="s">
        <v>175</v>
      </c>
      <c r="F13" s="27" t="s">
        <v>176</v>
      </c>
      <c r="G13" s="27" t="s">
        <v>177</v>
      </c>
      <c r="H13" s="28"/>
      <c r="I13" s="32" t="s">
        <v>140</v>
      </c>
      <c r="J13" s="28"/>
      <c r="K13" s="28"/>
      <c r="L13" s="28"/>
      <c r="M13" s="27"/>
    </row>
    <row r="14" customFormat="false" ht="60.75" hidden="false" customHeight="true" outlineLevel="0" collapsed="false">
      <c r="A14" s="29" t="s">
        <v>178</v>
      </c>
      <c r="B14" s="30" t="s">
        <v>179</v>
      </c>
      <c r="C14" s="29" t="s">
        <v>149</v>
      </c>
      <c r="D14" s="29" t="s">
        <v>180</v>
      </c>
      <c r="E14" s="30" t="s">
        <v>181</v>
      </c>
      <c r="F14" s="30" t="s">
        <v>182</v>
      </c>
      <c r="G14" s="30" t="s">
        <v>183</v>
      </c>
      <c r="H14" s="28"/>
      <c r="I14" s="32" t="s">
        <v>140</v>
      </c>
      <c r="J14" s="28"/>
      <c r="K14" s="28"/>
      <c r="L14" s="28"/>
      <c r="M14" s="30"/>
    </row>
    <row r="15" customFormat="false" ht="60.75" hidden="false" customHeight="true" outlineLevel="0" collapsed="false">
      <c r="A15" s="26" t="s">
        <v>184</v>
      </c>
      <c r="B15" s="27" t="s">
        <v>185</v>
      </c>
      <c r="C15" s="26" t="s">
        <v>135</v>
      </c>
      <c r="D15" s="26" t="s">
        <v>59</v>
      </c>
      <c r="E15" s="27" t="s">
        <v>186</v>
      </c>
      <c r="F15" s="27" t="s">
        <v>187</v>
      </c>
      <c r="G15" s="27" t="s">
        <v>188</v>
      </c>
      <c r="H15" s="28"/>
      <c r="I15" s="32" t="s">
        <v>140</v>
      </c>
      <c r="J15" s="28"/>
      <c r="K15" s="28"/>
      <c r="L15" s="28"/>
      <c r="M15" s="34" t="s">
        <v>189</v>
      </c>
    </row>
  </sheetData>
  <conditionalFormatting sqref="I7:I15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conditionalFormatting sqref="C7:C15">
    <cfRule type="cellIs" priority="14" operator="equal" aboveAverage="0" equalAverage="0" bottom="0" percent="0" rank="0" text="" dxfId="10">
      <formula>"Core"</formula>
    </cfRule>
  </conditionalFormatting>
  <dataValidations count="1">
    <dataValidation allowBlank="true" errorStyle="stop" operator="between" showDropDown="false" showErrorMessage="false" showInputMessage="false" sqref="I7:I15" type="list">
      <formula1>"○ Not run,✓ Pass,✗ Fail,⚠ 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10" min="3" style="1" width="19"/>
  </cols>
  <sheetData>
    <row r="1" customFormat="false" ht="33.75" hidden="false" customHeight="true" outlineLevel="0" collapsed="false">
      <c r="A1" s="22" t="s">
        <v>190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23" t="s">
        <v>191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24" t="s">
        <v>192</v>
      </c>
    </row>
    <row r="6" customFormat="false" ht="25.5" hidden="false" customHeight="true" outlineLevel="0" collapsed="false">
      <c r="A6" s="25" t="s">
        <v>193</v>
      </c>
      <c r="B6" s="25" t="s">
        <v>121</v>
      </c>
      <c r="C6" s="25" t="s">
        <v>95</v>
      </c>
      <c r="D6" s="25" t="s">
        <v>194</v>
      </c>
      <c r="E6" s="25" t="s">
        <v>98</v>
      </c>
      <c r="F6" s="25" t="s">
        <v>195</v>
      </c>
      <c r="G6" s="25" t="s">
        <v>101</v>
      </c>
      <c r="H6" s="25" t="s">
        <v>105</v>
      </c>
      <c r="I6" s="25" t="s">
        <v>110</v>
      </c>
      <c r="J6" s="25" t="s">
        <v>114</v>
      </c>
    </row>
    <row r="7" customFormat="false" ht="33.75" hidden="false" customHeight="true" outlineLevel="0" collapsed="false">
      <c r="A7" s="26" t="s">
        <v>136</v>
      </c>
      <c r="B7" s="27" t="s">
        <v>196</v>
      </c>
      <c r="C7" s="27" t="s">
        <v>197</v>
      </c>
      <c r="D7" s="27" t="s">
        <v>198</v>
      </c>
      <c r="E7" s="27" t="s">
        <v>199</v>
      </c>
      <c r="F7" s="27" t="s">
        <v>200</v>
      </c>
      <c r="G7" s="27" t="s">
        <v>104</v>
      </c>
      <c r="H7" s="27" t="s">
        <v>201</v>
      </c>
      <c r="I7" s="27" t="s">
        <v>113</v>
      </c>
      <c r="J7" s="27" t="s">
        <v>202</v>
      </c>
    </row>
    <row r="8" customFormat="false" ht="20.25" hidden="false" customHeight="true" outlineLevel="0" collapsed="false">
      <c r="A8" s="29" t="s">
        <v>150</v>
      </c>
      <c r="B8" s="30" t="s">
        <v>203</v>
      </c>
      <c r="C8" s="30" t="s">
        <v>97</v>
      </c>
      <c r="D8" s="30" t="s">
        <v>204</v>
      </c>
      <c r="E8" s="30" t="s">
        <v>100</v>
      </c>
      <c r="F8" s="30" t="s">
        <v>205</v>
      </c>
      <c r="G8" s="30" t="s">
        <v>104</v>
      </c>
      <c r="H8" s="30" t="s">
        <v>108</v>
      </c>
      <c r="I8" s="30" t="s">
        <v>113</v>
      </c>
      <c r="J8" s="30" t="s">
        <v>116</v>
      </c>
    </row>
    <row r="9" customFormat="false" ht="33.75" hidden="false" customHeight="true" outlineLevel="0" collapsed="false">
      <c r="A9" s="26" t="s">
        <v>156</v>
      </c>
      <c r="B9" s="27" t="s">
        <v>206</v>
      </c>
      <c r="C9" s="27" t="s">
        <v>207</v>
      </c>
      <c r="D9" s="27" t="s">
        <v>208</v>
      </c>
      <c r="E9" s="27" t="s">
        <v>209</v>
      </c>
      <c r="F9" s="27" t="s">
        <v>210</v>
      </c>
      <c r="G9" s="27" t="s">
        <v>211</v>
      </c>
      <c r="H9" s="27" t="s">
        <v>212</v>
      </c>
      <c r="I9" s="27" t="s">
        <v>113</v>
      </c>
      <c r="J9" s="27"/>
    </row>
    <row r="10" customFormat="false" ht="33.75" hidden="false" customHeight="true" outlineLevel="0" collapsed="false">
      <c r="A10" s="29" t="s">
        <v>162</v>
      </c>
      <c r="B10" s="30" t="s">
        <v>213</v>
      </c>
      <c r="C10" s="30" t="s">
        <v>214</v>
      </c>
      <c r="D10" s="30" t="s">
        <v>215</v>
      </c>
      <c r="E10" s="30" t="s">
        <v>199</v>
      </c>
      <c r="F10" s="30" t="s">
        <v>200</v>
      </c>
      <c r="G10" s="30" t="s">
        <v>104</v>
      </c>
      <c r="H10" s="30" t="s">
        <v>216</v>
      </c>
      <c r="I10" s="30" t="s">
        <v>113</v>
      </c>
      <c r="J10" s="30" t="s">
        <v>217</v>
      </c>
    </row>
    <row r="11" customFormat="false" ht="33.75" hidden="false" customHeight="true" outlineLevel="0" collapsed="false">
      <c r="A11" s="26" t="s">
        <v>168</v>
      </c>
      <c r="B11" s="27" t="s">
        <v>218</v>
      </c>
      <c r="C11" s="27" t="s">
        <v>219</v>
      </c>
      <c r="D11" s="27" t="s">
        <v>220</v>
      </c>
      <c r="E11" s="27" t="s">
        <v>199</v>
      </c>
      <c r="F11" s="27" t="s">
        <v>200</v>
      </c>
      <c r="G11" s="27" t="s">
        <v>104</v>
      </c>
      <c r="H11" s="27" t="s">
        <v>221</v>
      </c>
      <c r="I11" s="27" t="s">
        <v>113</v>
      </c>
      <c r="J11" s="27" t="s">
        <v>222</v>
      </c>
    </row>
    <row r="12" customFormat="false" ht="33.75" hidden="false" customHeight="true" outlineLevel="0" collapsed="false">
      <c r="A12" s="29" t="s">
        <v>174</v>
      </c>
      <c r="B12" s="30" t="s">
        <v>173</v>
      </c>
      <c r="C12" s="30" t="s">
        <v>219</v>
      </c>
      <c r="D12" s="30" t="s">
        <v>220</v>
      </c>
      <c r="E12" s="30" t="s">
        <v>199</v>
      </c>
      <c r="F12" s="30" t="s">
        <v>200</v>
      </c>
      <c r="G12" s="30" t="s">
        <v>104</v>
      </c>
      <c r="H12" s="30" t="s">
        <v>223</v>
      </c>
      <c r="I12" s="30" t="s">
        <v>113</v>
      </c>
      <c r="J12" s="30" t="s">
        <v>224</v>
      </c>
    </row>
    <row r="13" customFormat="false" ht="33.75" hidden="false" customHeight="true" outlineLevel="0" collapsed="false">
      <c r="A13" s="26" t="s">
        <v>180</v>
      </c>
      <c r="B13" s="27" t="s">
        <v>225</v>
      </c>
      <c r="C13" s="27" t="s">
        <v>226</v>
      </c>
      <c r="D13" s="27" t="s">
        <v>227</v>
      </c>
      <c r="E13" s="27" t="s">
        <v>228</v>
      </c>
      <c r="F13" s="27" t="s">
        <v>229</v>
      </c>
      <c r="G13" s="27" t="s">
        <v>104</v>
      </c>
      <c r="H13" s="27" t="s">
        <v>230</v>
      </c>
      <c r="I13" s="27" t="s">
        <v>113</v>
      </c>
      <c r="J13" s="2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50"/>
    <col collapsed="false" customWidth="true" hidden="false" outlineLevel="0" max="5" min="5" style="1" width="18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40"/>
    <col collapsed="false" customWidth="true" hidden="false" outlineLevel="0" max="9" min="9" style="1" width="11"/>
  </cols>
  <sheetData>
    <row r="1" customFormat="false" ht="33.75" hidden="false" customHeight="true" outlineLevel="0" collapsed="false">
      <c r="A1" s="22" t="s">
        <v>232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23" t="s">
        <v>233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4" t="s">
        <v>234</v>
      </c>
    </row>
    <row r="6" customFormat="false" ht="25.5" hidden="false" customHeight="true" outlineLevel="0" collapsed="false">
      <c r="A6" s="25" t="s">
        <v>131</v>
      </c>
      <c r="B6" s="25" t="s">
        <v>120</v>
      </c>
      <c r="C6" s="25" t="s">
        <v>39</v>
      </c>
      <c r="D6" s="25" t="s">
        <v>235</v>
      </c>
      <c r="E6" s="25" t="s">
        <v>236</v>
      </c>
      <c r="F6" s="25" t="s">
        <v>237</v>
      </c>
      <c r="G6" s="25" t="s">
        <v>128</v>
      </c>
      <c r="H6" s="25" t="s">
        <v>41</v>
      </c>
      <c r="I6" s="25" t="s">
        <v>238</v>
      </c>
    </row>
    <row r="7" customFormat="false" ht="33.75" hidden="false" customHeight="true" outlineLevel="0" collapsed="false">
      <c r="A7" s="35" t="s">
        <v>239</v>
      </c>
      <c r="B7" s="35" t="s">
        <v>166</v>
      </c>
      <c r="C7" s="35" t="s">
        <v>47</v>
      </c>
      <c r="D7" s="36" t="s">
        <v>240</v>
      </c>
      <c r="E7" s="36" t="s">
        <v>241</v>
      </c>
      <c r="F7" s="36" t="s">
        <v>242</v>
      </c>
      <c r="G7" s="35" t="s">
        <v>243</v>
      </c>
      <c r="H7" s="36" t="s">
        <v>244</v>
      </c>
      <c r="I7" s="36" t="s">
        <v>242</v>
      </c>
    </row>
    <row r="8" customFormat="false" ht="20.25" hidden="false" customHeight="true" outlineLevel="0" collapsed="false">
      <c r="A8" s="29" t="s">
        <v>245</v>
      </c>
      <c r="B8" s="32"/>
      <c r="C8" s="32"/>
      <c r="D8" s="28"/>
      <c r="E8" s="28"/>
      <c r="F8" s="28"/>
      <c r="G8" s="32"/>
      <c r="H8" s="28"/>
      <c r="I8" s="28"/>
    </row>
    <row r="9" customFormat="false" ht="20.25" hidden="false" customHeight="true" outlineLevel="0" collapsed="false">
      <c r="A9" s="26" t="s">
        <v>246</v>
      </c>
      <c r="B9" s="32"/>
      <c r="C9" s="32"/>
      <c r="D9" s="28"/>
      <c r="E9" s="28"/>
      <c r="F9" s="28"/>
      <c r="G9" s="32"/>
      <c r="H9" s="28"/>
      <c r="I9" s="28"/>
    </row>
    <row r="10" customFormat="false" ht="20.25" hidden="false" customHeight="true" outlineLevel="0" collapsed="false">
      <c r="A10" s="29" t="s">
        <v>247</v>
      </c>
      <c r="B10" s="32"/>
      <c r="C10" s="32"/>
      <c r="D10" s="28"/>
      <c r="E10" s="28"/>
      <c r="F10" s="28"/>
      <c r="G10" s="32"/>
      <c r="H10" s="28"/>
      <c r="I10" s="28"/>
    </row>
    <row r="11" customFormat="false" ht="20.25" hidden="false" customHeight="true" outlineLevel="0" collapsed="false">
      <c r="A11" s="26" t="s">
        <v>248</v>
      </c>
      <c r="B11" s="32"/>
      <c r="C11" s="32"/>
      <c r="D11" s="28"/>
      <c r="E11" s="28"/>
      <c r="F11" s="28"/>
      <c r="G11" s="32"/>
      <c r="H11" s="28"/>
      <c r="I11" s="28"/>
    </row>
    <row r="12" customFormat="false" ht="20.25" hidden="false" customHeight="true" outlineLevel="0" collapsed="false">
      <c r="A12" s="29" t="s">
        <v>249</v>
      </c>
      <c r="B12" s="32"/>
      <c r="C12" s="32"/>
      <c r="D12" s="28"/>
      <c r="E12" s="28"/>
      <c r="F12" s="28"/>
      <c r="G12" s="32"/>
      <c r="H12" s="28"/>
      <c r="I12" s="28"/>
    </row>
    <row r="13" customFormat="false" ht="20.25" hidden="false" customHeight="true" outlineLevel="0" collapsed="false">
      <c r="A13" s="26" t="s">
        <v>250</v>
      </c>
      <c r="B13" s="32"/>
      <c r="C13" s="32"/>
      <c r="D13" s="28"/>
      <c r="E13" s="28"/>
      <c r="F13" s="28"/>
      <c r="G13" s="32"/>
      <c r="H13" s="28"/>
      <c r="I13" s="28"/>
    </row>
    <row r="14" customFormat="false" ht="20.25" hidden="false" customHeight="true" outlineLevel="0" collapsed="false">
      <c r="A14" s="29" t="s">
        <v>251</v>
      </c>
      <c r="B14" s="32"/>
      <c r="C14" s="32"/>
      <c r="D14" s="28"/>
      <c r="E14" s="28"/>
      <c r="F14" s="28"/>
      <c r="G14" s="32"/>
      <c r="H14" s="28"/>
      <c r="I14" s="28"/>
    </row>
    <row r="15" customFormat="false" ht="20.25" hidden="false" customHeight="true" outlineLevel="0" collapsed="false">
      <c r="A15" s="26" t="s">
        <v>252</v>
      </c>
      <c r="B15" s="32"/>
      <c r="C15" s="32"/>
      <c r="D15" s="28"/>
      <c r="E15" s="28"/>
      <c r="F15" s="28"/>
      <c r="G15" s="32"/>
      <c r="H15" s="28"/>
      <c r="I15" s="28"/>
    </row>
    <row r="16" customFormat="false" ht="20.25" hidden="false" customHeight="true" outlineLevel="0" collapsed="false">
      <c r="A16" s="29" t="s">
        <v>253</v>
      </c>
      <c r="B16" s="32"/>
      <c r="C16" s="32"/>
      <c r="D16" s="28"/>
      <c r="E16" s="28"/>
      <c r="F16" s="28"/>
      <c r="G16" s="32"/>
      <c r="H16" s="28"/>
      <c r="I16" s="28"/>
    </row>
    <row r="17" customFormat="false" ht="20.25" hidden="false" customHeight="true" outlineLevel="0" collapsed="false">
      <c r="A17" s="26" t="s">
        <v>254</v>
      </c>
      <c r="B17" s="32"/>
      <c r="C17" s="32"/>
      <c r="D17" s="28"/>
      <c r="E17" s="28"/>
      <c r="F17" s="28"/>
      <c r="G17" s="32"/>
      <c r="H17" s="28"/>
      <c r="I17" s="28"/>
    </row>
    <row r="18" customFormat="false" ht="20.25" hidden="false" customHeight="true" outlineLevel="0" collapsed="false">
      <c r="A18" s="29" t="s">
        <v>255</v>
      </c>
      <c r="B18" s="32"/>
      <c r="C18" s="32"/>
      <c r="D18" s="28"/>
      <c r="E18" s="28"/>
      <c r="F18" s="28"/>
      <c r="G18" s="32"/>
      <c r="H18" s="28"/>
      <c r="I18" s="28"/>
    </row>
    <row r="19" customFormat="false" ht="20.25" hidden="false" customHeight="true" outlineLevel="0" collapsed="false">
      <c r="A19" s="26" t="s">
        <v>256</v>
      </c>
      <c r="B19" s="32"/>
      <c r="C19" s="32"/>
      <c r="D19" s="28"/>
      <c r="E19" s="28"/>
      <c r="F19" s="28"/>
      <c r="G19" s="32"/>
      <c r="H19" s="28"/>
      <c r="I19" s="28"/>
    </row>
    <row r="20" customFormat="false" ht="20.25" hidden="false" customHeight="true" outlineLevel="0" collapsed="false">
      <c r="A20" s="29" t="s">
        <v>257</v>
      </c>
      <c r="B20" s="32"/>
      <c r="C20" s="32"/>
      <c r="D20" s="28"/>
      <c r="E20" s="28"/>
      <c r="F20" s="28"/>
      <c r="G20" s="32"/>
      <c r="H20" s="28"/>
      <c r="I20" s="28"/>
    </row>
    <row r="21" customFormat="false" ht="20.25" hidden="false" customHeight="true" outlineLevel="0" collapsed="false">
      <c r="A21" s="26" t="s">
        <v>258</v>
      </c>
      <c r="B21" s="32"/>
      <c r="C21" s="32"/>
      <c r="D21" s="28"/>
      <c r="E21" s="28"/>
      <c r="F21" s="28"/>
      <c r="G21" s="32"/>
      <c r="H21" s="28"/>
      <c r="I21" s="28"/>
    </row>
    <row r="22" customFormat="false" ht="20.25" hidden="false" customHeight="true" outlineLevel="0" collapsed="false">
      <c r="A22" s="29" t="s">
        <v>259</v>
      </c>
      <c r="B22" s="32"/>
      <c r="C22" s="32"/>
      <c r="D22" s="28"/>
      <c r="E22" s="28"/>
      <c r="F22" s="28"/>
      <c r="G22" s="32"/>
      <c r="H22" s="28"/>
      <c r="I22" s="28"/>
    </row>
    <row r="23" customFormat="false" ht="20.25" hidden="false" customHeight="true" outlineLevel="0" collapsed="false">
      <c r="A23" s="26" t="s">
        <v>260</v>
      </c>
      <c r="B23" s="32"/>
      <c r="C23" s="32"/>
      <c r="D23" s="28"/>
      <c r="E23" s="28"/>
      <c r="F23" s="28"/>
      <c r="G23" s="32"/>
      <c r="H23" s="28"/>
      <c r="I23" s="28"/>
    </row>
    <row r="24" customFormat="false" ht="20.25" hidden="false" customHeight="true" outlineLevel="0" collapsed="false">
      <c r="A24" s="29" t="s">
        <v>261</v>
      </c>
      <c r="B24" s="32"/>
      <c r="C24" s="32"/>
      <c r="D24" s="28"/>
      <c r="E24" s="28"/>
      <c r="F24" s="28"/>
      <c r="G24" s="32"/>
      <c r="H24" s="28"/>
      <c r="I24" s="28"/>
    </row>
    <row r="25" customFormat="false" ht="20.25" hidden="false" customHeight="true" outlineLevel="0" collapsed="false">
      <c r="A25" s="26" t="s">
        <v>262</v>
      </c>
      <c r="B25" s="32"/>
      <c r="C25" s="32"/>
      <c r="D25" s="28"/>
      <c r="E25" s="28"/>
      <c r="F25" s="28"/>
      <c r="G25" s="32"/>
      <c r="H25" s="28"/>
      <c r="I25" s="28"/>
    </row>
    <row r="26" customFormat="false" ht="20.25" hidden="false" customHeight="true" outlineLevel="0" collapsed="false">
      <c r="A26" s="29" t="s">
        <v>263</v>
      </c>
      <c r="B26" s="32"/>
      <c r="C26" s="32"/>
      <c r="D26" s="28"/>
      <c r="E26" s="28"/>
      <c r="F26" s="28"/>
      <c r="G26" s="32"/>
      <c r="H26" s="28"/>
      <c r="I26" s="28"/>
    </row>
    <row r="27" customFormat="false" ht="20.25" hidden="false" customHeight="true" outlineLevel="0" collapsed="false">
      <c r="A27" s="26" t="s">
        <v>264</v>
      </c>
      <c r="B27" s="32"/>
      <c r="C27" s="32"/>
      <c r="D27" s="28"/>
      <c r="E27" s="28"/>
      <c r="F27" s="28"/>
      <c r="G27" s="32"/>
      <c r="H27" s="28"/>
      <c r="I27" s="28"/>
    </row>
    <row r="28" customFormat="false" ht="20.25" hidden="false" customHeight="true" outlineLevel="0" collapsed="false">
      <c r="A28" s="29" t="s">
        <v>265</v>
      </c>
      <c r="B28" s="32"/>
      <c r="C28" s="32"/>
      <c r="D28" s="28"/>
      <c r="E28" s="28"/>
      <c r="F28" s="28"/>
      <c r="G28" s="32"/>
      <c r="H28" s="28"/>
      <c r="I28" s="28"/>
    </row>
    <row r="29" customFormat="false" ht="20.25" hidden="false" customHeight="true" outlineLevel="0" collapsed="false">
      <c r="A29" s="26" t="s">
        <v>266</v>
      </c>
      <c r="B29" s="32"/>
      <c r="C29" s="32"/>
      <c r="D29" s="28"/>
      <c r="E29" s="28"/>
      <c r="F29" s="28"/>
      <c r="G29" s="32"/>
      <c r="H29" s="28"/>
      <c r="I29" s="28"/>
    </row>
    <row r="30" customFormat="false" ht="20.25" hidden="false" customHeight="true" outlineLevel="0" collapsed="false">
      <c r="A30" s="29" t="s">
        <v>267</v>
      </c>
      <c r="B30" s="32"/>
      <c r="C30" s="32"/>
      <c r="D30" s="28"/>
      <c r="E30" s="28"/>
      <c r="F30" s="28"/>
      <c r="G30" s="32"/>
      <c r="H30" s="28"/>
      <c r="I30" s="28"/>
    </row>
    <row r="31" customFormat="false" ht="20.25" hidden="false" customHeight="true" outlineLevel="0" collapsed="false">
      <c r="A31" s="26" t="s">
        <v>268</v>
      </c>
      <c r="B31" s="32"/>
      <c r="C31" s="32"/>
      <c r="D31" s="28"/>
      <c r="E31" s="28"/>
      <c r="F31" s="28"/>
      <c r="G31" s="32"/>
      <c r="H31" s="28"/>
      <c r="I31" s="28"/>
    </row>
    <row r="32" customFormat="false" ht="20.25" hidden="false" customHeight="true" outlineLevel="0" collapsed="false">
      <c r="A32" s="29" t="s">
        <v>269</v>
      </c>
      <c r="B32" s="32"/>
      <c r="C32" s="32"/>
      <c r="D32" s="28"/>
      <c r="E32" s="28"/>
      <c r="F32" s="28"/>
      <c r="G32" s="32"/>
      <c r="H32" s="28"/>
      <c r="I32" s="28"/>
    </row>
    <row r="33" customFormat="false" ht="20.25" hidden="false" customHeight="true" outlineLevel="0" collapsed="false">
      <c r="A33" s="26" t="s">
        <v>270</v>
      </c>
      <c r="B33" s="32"/>
      <c r="C33" s="32"/>
      <c r="D33" s="28"/>
      <c r="E33" s="28"/>
      <c r="F33" s="28"/>
      <c r="G33" s="32"/>
      <c r="H33" s="28"/>
      <c r="I33" s="28"/>
    </row>
    <row r="34" customFormat="false" ht="20.25" hidden="false" customHeight="true" outlineLevel="0" collapsed="false">
      <c r="A34" s="29" t="s">
        <v>271</v>
      </c>
      <c r="B34" s="32"/>
      <c r="C34" s="32"/>
      <c r="D34" s="28"/>
      <c r="E34" s="28"/>
      <c r="F34" s="28"/>
      <c r="G34" s="32"/>
      <c r="H34" s="28"/>
      <c r="I34" s="28"/>
    </row>
    <row r="35" customFormat="false" ht="20.25" hidden="false" customHeight="true" outlineLevel="0" collapsed="false">
      <c r="A35" s="26" t="s">
        <v>272</v>
      </c>
      <c r="B35" s="32"/>
      <c r="C35" s="32"/>
      <c r="D35" s="28"/>
      <c r="E35" s="28"/>
      <c r="F35" s="28"/>
      <c r="G35" s="32"/>
      <c r="H35" s="28"/>
      <c r="I35" s="28"/>
    </row>
    <row r="36" customFormat="false" ht="20.25" hidden="false" customHeight="true" outlineLevel="0" collapsed="false">
      <c r="A36" s="29" t="s">
        <v>273</v>
      </c>
      <c r="B36" s="32"/>
      <c r="C36" s="32"/>
      <c r="D36" s="28"/>
      <c r="E36" s="28"/>
      <c r="F36" s="28"/>
      <c r="G36" s="32"/>
      <c r="H36" s="28"/>
      <c r="I36" s="28"/>
    </row>
    <row r="37" customFormat="false" ht="20.25" hidden="false" customHeight="true" outlineLevel="0" collapsed="false">
      <c r="A37" s="26" t="s">
        <v>274</v>
      </c>
      <c r="B37" s="32"/>
      <c r="C37" s="32"/>
      <c r="D37" s="28"/>
      <c r="E37" s="28"/>
      <c r="F37" s="28"/>
      <c r="G37" s="32"/>
      <c r="H37" s="28"/>
      <c r="I37" s="28"/>
    </row>
  </sheetData>
  <conditionalFormatting sqref="C8:C37">
    <cfRule type="cellIs" priority="2" operator="equal" aboveAverage="0" equalAverage="0" bottom="0" percent="0" rank="0" text="" dxfId="9">
      <formula>"High"</formula>
    </cfRule>
  </conditionalFormatting>
  <conditionalFormatting sqref="G8:G37">
    <cfRule type="cellIs" priority="3" operator="equal" aboveAverage="0" equalAverage="0" bottom="0" percent="0" rank="0" text="" dxfId="5">
      <formula>"Open"</formula>
    </cfRule>
    <cfRule type="cellIs" priority="4" operator="equal" aboveAverage="0" equalAverage="0" bottom="0" percent="0" rank="0" text="" dxfId="4">
      <formula>"Resolved"</formula>
    </cfRule>
  </conditionalFormatting>
  <dataValidations count="2">
    <dataValidation allowBlank="true" errorStyle="stop" operator="between" showDropDown="false" showErrorMessage="false" showInputMessage="false" sqref="C8:C37" type="list">
      <formula1>"High,Medium,Low"</formula1>
      <formula2>0</formula2>
    </dataValidation>
    <dataValidation allowBlank="true" errorStyle="stop" operator="between" showDropDown="false" showErrorMessage="false" showInputMessage="false" sqref="G8:G37" type="list">
      <formula1>"Open,In progress,Resolved,Won't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14"/>
  </cols>
  <sheetData>
    <row r="1" customFormat="false" ht="33.75" hidden="false" customHeight="true" outlineLevel="0" collapsed="false">
      <c r="A1" s="22" t="s">
        <v>275</v>
      </c>
      <c r="B1" s="2"/>
      <c r="C1" s="2"/>
      <c r="D1" s="2"/>
    </row>
    <row r="2" customFormat="false" ht="19.5" hidden="false" customHeight="true" outlineLevel="0" collapsed="false">
      <c r="A2" s="23" t="s">
        <v>276</v>
      </c>
      <c r="B2" s="2"/>
      <c r="C2" s="2"/>
      <c r="D2" s="2"/>
    </row>
    <row r="3" customFormat="false" ht="3.75" hidden="false" customHeight="true" outlineLevel="0" collapsed="false">
      <c r="A3" s="6"/>
      <c r="B3" s="6"/>
      <c r="C3" s="6"/>
      <c r="D3" s="6"/>
    </row>
    <row r="4" customFormat="false" ht="15" hidden="false" customHeight="false" outlineLevel="0" collapsed="false">
      <c r="A4" s="24" t="s">
        <v>277</v>
      </c>
    </row>
    <row r="6" customFormat="false" ht="25.5" hidden="false" customHeight="true" outlineLevel="0" collapsed="false">
      <c r="A6" s="25" t="s">
        <v>278</v>
      </c>
      <c r="B6" s="25" t="s">
        <v>128</v>
      </c>
    </row>
    <row r="7" customFormat="false" ht="20.25" hidden="false" customHeight="true" outlineLevel="0" collapsed="false">
      <c r="A7" s="27" t="s">
        <v>279</v>
      </c>
      <c r="B7" s="26" t="str">
        <f aca="false">IF(COUNTIF('Pre-UAT Validation'!$E$7:$E$18,"✗ FAIL")=0,"✓ Met","✗ Not met")</f>
        <v>✗ Not met</v>
      </c>
    </row>
    <row r="8" customFormat="false" ht="20.25" hidden="false" customHeight="true" outlineLevel="0" collapsed="false">
      <c r="A8" s="30" t="s">
        <v>280</v>
      </c>
      <c r="B8" s="29" t="str">
        <f aca="false">IF(COUNTIFS('Test Cases'!$C$7:$C$15,"Core",'Test Cases'!$I$7:$I$15,"&lt;&gt;✓ Pass")=0,"✓ Met","✗ Not met")</f>
        <v>✗ Not met</v>
      </c>
    </row>
    <row r="9" customFormat="false" ht="20.25" hidden="false" customHeight="true" outlineLevel="0" collapsed="false">
      <c r="A9" s="27" t="s">
        <v>281</v>
      </c>
      <c r="B9" s="26" t="str">
        <f aca="false">IF(COUNTIFS('Test Cases'!$C$7:$C$15,"Edge",'Test Cases'!$I$7:$I$15,"○ Not run")+COUNTIFS('Test Cases'!$C$7:$C$15,"Edge",'Test Cases'!$I$7:$I$15,"⚠ Blocked")=0,"✓ Met","✗ Not met")</f>
        <v>✗ Not met</v>
      </c>
    </row>
    <row r="10" customFormat="false" ht="20.25" hidden="false" customHeight="true" outlineLevel="0" collapsed="false">
      <c r="A10" s="30" t="s">
        <v>282</v>
      </c>
      <c r="B10" s="29" t="str">
        <f aca="false">IF(COUNTIFS('Issue Log'!$C$8:$C$200,"High",'Issue Log'!$G$8:$G$200,"Open")=0,"✓ Met","✗ Not met")</f>
        <v>✓ Met</v>
      </c>
    </row>
    <row r="11" customFormat="false" ht="20.25" hidden="false" customHeight="true" outlineLevel="0" collapsed="false">
      <c r="A11" s="27" t="s">
        <v>283</v>
      </c>
      <c r="B11" s="26" t="str">
        <f aca="false">IF(COUNTIF('Field Mappings'!$H$7:$H$12,"✓ Verified")+COUNTIF('Field Mappings'!$H$7:$H$12,"N/A")=6,"✓ Met","✗ Not met")</f>
        <v>✗ Not met</v>
      </c>
    </row>
    <row r="13" customFormat="false" ht="21.75" hidden="false" customHeight="true" outlineLevel="0" collapsed="false">
      <c r="A13" s="12" t="s">
        <v>284</v>
      </c>
      <c r="B13" s="13"/>
      <c r="C13" s="13"/>
      <c r="D13" s="13"/>
    </row>
    <row r="14" customFormat="false" ht="25.5" hidden="false" customHeight="true" outlineLevel="0" collapsed="false">
      <c r="A14" s="25" t="s">
        <v>285</v>
      </c>
      <c r="B14" s="25" t="s">
        <v>286</v>
      </c>
      <c r="C14" s="25" t="s">
        <v>287</v>
      </c>
      <c r="D14" s="25" t="s">
        <v>130</v>
      </c>
    </row>
    <row r="15" customFormat="false" ht="20.25" hidden="false" customHeight="true" outlineLevel="0" collapsed="false">
      <c r="A15" s="27" t="s">
        <v>288</v>
      </c>
      <c r="B15" s="27" t="s">
        <v>289</v>
      </c>
      <c r="C15" s="28"/>
      <c r="D15" s="28"/>
    </row>
    <row r="16" customFormat="false" ht="20.25" hidden="false" customHeight="true" outlineLevel="0" collapsed="false">
      <c r="A16" s="30"/>
      <c r="B16" s="30" t="s">
        <v>290</v>
      </c>
      <c r="C16" s="28"/>
      <c r="D16" s="28"/>
    </row>
  </sheetData>
  <conditionalFormatting sqref="B7:B11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33.75" hidden="false" customHeight="true" outlineLevel="0" collapsed="false">
      <c r="A1" s="22" t="s">
        <v>291</v>
      </c>
      <c r="B1" s="2"/>
    </row>
    <row r="2" customFormat="false" ht="19.5" hidden="false" customHeight="true" outlineLevel="0" collapsed="false">
      <c r="A2" s="23" t="s">
        <v>292</v>
      </c>
      <c r="B2" s="2"/>
    </row>
    <row r="3" customFormat="false" ht="3.75" hidden="false" customHeight="true" outlineLevel="0" collapsed="false">
      <c r="A3" s="6"/>
      <c r="B3" s="6"/>
    </row>
    <row r="6" customFormat="false" ht="25.5" hidden="false" customHeight="true" outlineLevel="0" collapsed="false">
      <c r="A6" s="25" t="s">
        <v>293</v>
      </c>
      <c r="B6" s="25" t="s">
        <v>294</v>
      </c>
    </row>
    <row r="7" customFormat="false" ht="20.25" hidden="false" customHeight="true" outlineLevel="0" collapsed="false">
      <c r="A7" s="27" t="s">
        <v>295</v>
      </c>
      <c r="B7" s="27" t="s">
        <v>296</v>
      </c>
    </row>
    <row r="8" customFormat="false" ht="33.75" hidden="false" customHeight="true" outlineLevel="0" collapsed="false">
      <c r="A8" s="30" t="s">
        <v>297</v>
      </c>
      <c r="B8" s="30" t="s">
        <v>298</v>
      </c>
    </row>
    <row r="9" customFormat="false" ht="33.75" hidden="false" customHeight="true" outlineLevel="0" collapsed="false">
      <c r="A9" s="27" t="s">
        <v>299</v>
      </c>
      <c r="B9" s="27" t="s">
        <v>300</v>
      </c>
    </row>
    <row r="10" customFormat="false" ht="33.75" hidden="false" customHeight="true" outlineLevel="0" collapsed="false">
      <c r="A10" s="30" t="s">
        <v>301</v>
      </c>
      <c r="B10" s="30" t="s">
        <v>302</v>
      </c>
    </row>
    <row r="11" customFormat="false" ht="20.25" hidden="false" customHeight="true" outlineLevel="0" collapsed="false">
      <c r="A11" s="27" t="s">
        <v>123</v>
      </c>
      <c r="B11" s="27" t="s">
        <v>303</v>
      </c>
    </row>
    <row r="12" customFormat="false" ht="20.25" hidden="false" customHeight="true" outlineLevel="0" collapsed="false">
      <c r="A12" s="30" t="s">
        <v>304</v>
      </c>
      <c r="B12" s="30" t="s">
        <v>305</v>
      </c>
    </row>
    <row r="13" customFormat="false" ht="20.25" hidden="false" customHeight="true" outlineLevel="0" collapsed="false">
      <c r="A13" s="27" t="s">
        <v>306</v>
      </c>
      <c r="B13" s="27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2026-10-09T17:23:08Z</dcterms:created>
  <dc:creator>openpyxl</dc:creator>
  <dc:description/>
  <dc:language>en-US</dc:language>
  <cp:lastModifiedBy/>
  <dcterms:modified xsi:type="dcterms:W3CDTF">2026-10-09T17:23:08Z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